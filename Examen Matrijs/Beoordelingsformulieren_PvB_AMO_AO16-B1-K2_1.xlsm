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vd\OneDrive\Bureaublad\Examen2020\Examen Matrijs\"/>
    </mc:Choice>
  </mc:AlternateContent>
  <xr:revisionPtr revIDLastSave="3" documentId="11_4BB84CAA6A5C9E8EFCE2D1F48E37B2A47A8538B4" xr6:coauthVersionLast="44" xr6:coauthVersionMax="44" xr10:uidLastSave="{BE765150-BC7D-4B17-8E8D-35FE137CB870}"/>
  <bookViews>
    <workbookView xWindow="-108" yWindow="-108" windowWidth="23256" windowHeight="13176" tabRatio="840" firstSheet="5" activeTab="7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9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93" l="1"/>
  <c r="J32" i="94" l="1"/>
  <c r="E30" i="94" s="1"/>
  <c r="D32" i="94"/>
  <c r="O26" i="94"/>
  <c r="M26" i="94"/>
  <c r="O25" i="94"/>
  <c r="M25" i="94"/>
  <c r="O24" i="94"/>
  <c r="M24" i="94"/>
  <c r="B10" i="94"/>
  <c r="B5" i="94"/>
  <c r="D45" i="94" s="1"/>
  <c r="C1" i="94"/>
  <c r="B11" i="94" s="1"/>
  <c r="J36" i="93"/>
  <c r="H36" i="93" s="1"/>
  <c r="O30" i="93"/>
  <c r="M30" i="93"/>
  <c r="O29" i="93"/>
  <c r="M29" i="93"/>
  <c r="O28" i="93"/>
  <c r="M28" i="93"/>
  <c r="B5" i="93" s="1"/>
  <c r="O27" i="93"/>
  <c r="M27" i="93"/>
  <c r="J38" i="93" s="1"/>
  <c r="H38" i="93" s="1"/>
  <c r="O26" i="93"/>
  <c r="M26" i="93"/>
  <c r="J37" i="93" s="1"/>
  <c r="H37" i="93" s="1"/>
  <c r="O25" i="93"/>
  <c r="M25" i="93"/>
  <c r="O24" i="93"/>
  <c r="M24" i="93"/>
  <c r="B10" i="93"/>
  <c r="C1" i="93"/>
  <c r="B11" i="93" s="1"/>
  <c r="B12" i="92"/>
  <c r="C11" i="92"/>
  <c r="B11" i="92"/>
  <c r="B10" i="92"/>
  <c r="B9" i="92"/>
  <c r="B8" i="92"/>
  <c r="B7" i="92"/>
  <c r="B6" i="92"/>
  <c r="C5" i="92"/>
  <c r="B5" i="92"/>
  <c r="D4" i="94" l="1"/>
  <c r="D40" i="94"/>
  <c r="D41" i="94"/>
  <c r="D60" i="93"/>
  <c r="D52" i="93"/>
  <c r="D63" i="93"/>
  <c r="D59" i="93"/>
  <c r="D51" i="93"/>
  <c r="D57" i="93"/>
  <c r="D56" i="93"/>
  <c r="D64" i="93"/>
  <c r="D48" i="93"/>
  <c r="D55" i="93"/>
  <c r="D62" i="93"/>
  <c r="D54" i="93"/>
  <c r="D58" i="93"/>
  <c r="D49" i="93"/>
  <c r="D61" i="93"/>
  <c r="D53" i="93"/>
  <c r="D50" i="93"/>
  <c r="D47" i="93"/>
  <c r="D38" i="94"/>
  <c r="D39" i="94"/>
  <c r="D42" i="94"/>
  <c r="D43" i="94"/>
  <c r="D36" i="94"/>
  <c r="D44" i="94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3" l="1"/>
  <c r="H22" i="94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H25" i="93"/>
  <c r="C25" i="93" s="1"/>
  <c r="E27" i="93"/>
  <c r="F26" i="94"/>
  <c r="F25" i="94"/>
  <c r="F24" i="94"/>
  <c r="B37" i="93"/>
  <c r="B30" i="93"/>
  <c r="B29" i="93"/>
  <c r="H29" i="93"/>
  <c r="C29" i="93" s="1"/>
  <c r="G24" i="93"/>
  <c r="B26" i="94"/>
  <c r="B24" i="94"/>
  <c r="H30" i="93"/>
  <c r="C30" i="93" s="1"/>
  <c r="F25" i="93"/>
  <c r="E28" i="93"/>
  <c r="E26" i="94"/>
  <c r="E25" i="94"/>
  <c r="E24" i="94"/>
  <c r="F26" i="93"/>
  <c r="H25" i="94"/>
  <c r="C25" i="94" s="1"/>
  <c r="G29" i="93"/>
  <c r="E24" i="93"/>
  <c r="D26" i="94"/>
  <c r="D25" i="94"/>
  <c r="D24" i="94"/>
  <c r="G26" i="93"/>
  <c r="B32" i="94"/>
  <c r="F24" i="93"/>
  <c r="H26" i="94"/>
  <c r="C26" i="94" s="1"/>
  <c r="E25" i="93"/>
  <c r="F29" i="93"/>
  <c r="D28" i="93"/>
  <c r="N28" i="93" s="1"/>
  <c r="D27" i="93"/>
  <c r="D26" i="93"/>
  <c r="D25" i="93"/>
  <c r="N25" i="93" s="1"/>
  <c r="N24" i="93"/>
  <c r="G27" i="93"/>
  <c r="B25" i="94"/>
  <c r="F27" i="93"/>
  <c r="B38" i="93"/>
  <c r="E30" i="93"/>
  <c r="E29" i="93"/>
  <c r="B28" i="93"/>
  <c r="B27" i="93"/>
  <c r="B26" i="93"/>
  <c r="B25" i="93"/>
  <c r="B24" i="93"/>
  <c r="D30" i="93"/>
  <c r="D29" i="93"/>
  <c r="H27" i="93"/>
  <c r="C27" i="93" s="1"/>
  <c r="H26" i="93"/>
  <c r="C26" i="93" s="1"/>
  <c r="H24" i="93"/>
  <c r="C24" i="93" s="1"/>
  <c r="H28" i="93"/>
  <c r="C28" i="93" s="1"/>
  <c r="B36" i="93"/>
  <c r="G25" i="93"/>
  <c r="H24" i="94"/>
  <c r="C24" i="94" s="1"/>
  <c r="E26" i="93"/>
  <c r="C30" i="94" l="1"/>
  <c r="N26" i="93"/>
  <c r="B6" i="93"/>
  <c r="B7" i="93"/>
  <c r="N27" i="93"/>
  <c r="B4" i="93" s="1"/>
  <c r="B8" i="93" s="1"/>
  <c r="N25" i="94"/>
  <c r="N24" i="94"/>
  <c r="N30" i="93"/>
  <c r="N26" i="94"/>
  <c r="C34" i="93"/>
  <c r="N29" i="93"/>
  <c r="C60" i="93" l="1"/>
  <c r="C54" i="93"/>
  <c r="C47" i="93"/>
  <c r="C56" i="93"/>
  <c r="C55" i="93"/>
  <c r="C57" i="93"/>
  <c r="C52" i="93"/>
  <c r="C62" i="93"/>
  <c r="C51" i="93"/>
  <c r="C64" i="93"/>
  <c r="C59" i="93"/>
  <c r="C63" i="93"/>
  <c r="C50" i="93"/>
  <c r="C58" i="93"/>
  <c r="C49" i="93"/>
  <c r="C53" i="93"/>
  <c r="C48" i="93"/>
  <c r="C61" i="93"/>
  <c r="B7" i="94"/>
  <c r="B4" i="94"/>
  <c r="B8" i="94" s="1"/>
  <c r="B6" i="94"/>
  <c r="C43" i="94" l="1"/>
  <c r="C37" i="94"/>
  <c r="C42" i="94"/>
  <c r="C36" i="94"/>
  <c r="C45" i="94"/>
  <c r="C39" i="94"/>
  <c r="C40" i="94"/>
  <c r="C41" i="94"/>
  <c r="C38" i="94"/>
  <c r="C44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<sst xmlns="http://schemas.openxmlformats.org/spreadsheetml/2006/main" count="297" uniqueCount="177">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</sst>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checked="Checked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checked="Checked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checked="Checked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1074420</xdr:colOff>
          <xdr:row>29</xdr:row>
          <xdr:rowOff>22860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60960</xdr:rowOff>
        </xdr:from>
        <xdr:to>
          <xdr:col>7</xdr:col>
          <xdr:colOff>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0</xdr:row>
          <xdr:rowOff>60960</xdr:rowOff>
        </xdr:from>
        <xdr:to>
          <xdr:col>8</xdr:col>
          <xdr:colOff>0</xdr:colOff>
          <xdr:row>0</xdr:row>
          <xdr:rowOff>335280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213360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213360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213360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213360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213360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213360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213360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213360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22860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22860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22860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22860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22860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22860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22860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22860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4" x14ac:dyDescent="0.3"/>
  <cols>
    <col min="2" max="2" width="33.109375" customWidth="1"/>
    <col min="3" max="3" width="65.44140625" customWidth="1"/>
  </cols>
  <sheetData>
    <row r="2" spans="2:3" x14ac:dyDescent="0.3">
      <c r="B2" t="s">
        <v>13</v>
      </c>
    </row>
    <row r="3" spans="2:3" x14ac:dyDescent="0.3">
      <c r="B3" s="2" t="s">
        <v>14</v>
      </c>
    </row>
    <row r="4" spans="2:3" x14ac:dyDescent="0.3">
      <c r="B4" s="2" t="s">
        <v>15</v>
      </c>
    </row>
    <row r="6" spans="2:3" x14ac:dyDescent="0.3">
      <c r="B6" t="s">
        <v>30</v>
      </c>
    </row>
    <row r="7" spans="2:3" x14ac:dyDescent="0.3">
      <c r="B7" s="2">
        <v>0</v>
      </c>
      <c r="C7" s="15" t="s">
        <v>33</v>
      </c>
    </row>
    <row r="9" spans="2:3" x14ac:dyDescent="0.3">
      <c r="B9" t="s">
        <v>44</v>
      </c>
    </row>
    <row r="10" spans="2:3" ht="45" customHeight="1" x14ac:dyDescent="0.3">
      <c r="B10" s="19" t="s">
        <v>45</v>
      </c>
      <c r="C10" s="23" t="s">
        <v>65</v>
      </c>
    </row>
    <row r="12" spans="2:3" x14ac:dyDescent="0.3">
      <c r="B12" t="s">
        <v>48</v>
      </c>
      <c r="C12" s="39"/>
    </row>
    <row r="15" spans="2:3" x14ac:dyDescent="0.3">
      <c r="B15" t="s">
        <v>58</v>
      </c>
      <c r="C15" s="46" t="s">
        <v>57</v>
      </c>
    </row>
    <row r="17" spans="2:3" x14ac:dyDescent="0.3">
      <c r="B17" t="s">
        <v>60</v>
      </c>
      <c r="C17" t="s">
        <v>61</v>
      </c>
    </row>
    <row r="19" spans="2:3" x14ac:dyDescent="0.3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4" x14ac:dyDescent="0.3"/>
  <cols>
    <col min="1" max="1" width="33.109375" customWidth="1"/>
    <col min="2" max="3" width="33.5546875" customWidth="1"/>
  </cols>
  <sheetData>
    <row r="1" spans="1:6" ht="31.2" x14ac:dyDescent="0.6">
      <c r="A1" s="85" t="s">
        <v>62</v>
      </c>
      <c r="B1" s="85"/>
      <c r="C1" s="85"/>
    </row>
    <row r="3" spans="1:6" ht="24" customHeight="1" x14ac:dyDescent="0.3">
      <c r="A3" s="80" t="s">
        <v>35</v>
      </c>
      <c r="B3" s="81"/>
      <c r="C3" s="82"/>
    </row>
    <row r="4" spans="1:6" ht="2.25" customHeight="1" x14ac:dyDescent="0.3">
      <c r="A4" s="30"/>
      <c r="B4" s="41"/>
      <c r="C4" s="41"/>
    </row>
    <row r="5" spans="1:6" s="16" customFormat="1" ht="34.5" customHeight="1" x14ac:dyDescent="0.3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3">
      <c r="A13" s="30"/>
      <c r="B13" s="32"/>
      <c r="C13" s="33"/>
    </row>
    <row r="14" spans="1:6" ht="222.75" customHeight="1" x14ac:dyDescent="0.3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4" x14ac:dyDescent="0.3"/>
  <cols>
    <col min="1" max="1" width="18.109375" customWidth="1"/>
    <col min="2" max="2" width="20.109375" customWidth="1"/>
    <col min="3" max="3" width="17.33203125" customWidth="1"/>
    <col min="4" max="7" width="23.6640625" style="8" customWidth="1"/>
  </cols>
  <sheetData>
    <row r="1" spans="1:7" x14ac:dyDescent="0.3">
      <c r="A1" t="s">
        <v>25</v>
      </c>
      <c r="B1" s="6"/>
      <c r="C1" s="57" t="e">
        <f>VLOOKUP(B1,werkprocessen,2,FALSE)</f>
        <v>#N/A</v>
      </c>
    </row>
    <row r="2" spans="1:7" x14ac:dyDescent="0.3">
      <c r="A2" t="s">
        <v>26</v>
      </c>
      <c r="B2" s="6" t="e">
        <f>VLOOKUP(B1,KerntakenEnWerkprocessen!B13:E27,3,FALSE)</f>
        <v>#N/A</v>
      </c>
    </row>
    <row r="3" spans="1:7" x14ac:dyDescent="0.3">
      <c r="A3" t="s">
        <v>27</v>
      </c>
      <c r="B3" s="6" t="e">
        <f>VLOOKUP(B1,KerntakenEnWerkprocessen!B13:E27,4,FALSE)</f>
        <v>#N/A</v>
      </c>
    </row>
    <row r="4" spans="1:7" x14ac:dyDescent="0.3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3">
      <c r="A5" t="s">
        <v>31</v>
      </c>
      <c r="B5" s="6">
        <f>SUM(M:M)</f>
        <v>0</v>
      </c>
    </row>
    <row r="6" spans="1:7" x14ac:dyDescent="0.3">
      <c r="A6" t="s">
        <v>42</v>
      </c>
      <c r="B6" s="6">
        <f>COUNTIF(N:N,1)</f>
        <v>0</v>
      </c>
    </row>
    <row r="7" spans="1:7" x14ac:dyDescent="0.3">
      <c r="A7" t="s">
        <v>43</v>
      </c>
      <c r="B7" s="6">
        <f>COUNTIF(N:N,2)+COUNTIF(N:N,3)</f>
        <v>0</v>
      </c>
    </row>
    <row r="8" spans="1:7" x14ac:dyDescent="0.3">
      <c r="A8" t="s">
        <v>34</v>
      </c>
      <c r="B8" s="6">
        <f>0.5*B4</f>
        <v>0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2:7" ht="22.5" customHeight="1" x14ac:dyDescent="0.3">
      <c r="B17" s="17" t="s">
        <v>18</v>
      </c>
      <c r="C17" s="12"/>
      <c r="D17" s="10"/>
      <c r="E17" s="10"/>
      <c r="F17" s="10"/>
      <c r="G17" s="14"/>
    </row>
    <row r="18" spans="2:7" ht="22.5" customHeight="1" x14ac:dyDescent="0.3">
      <c r="B18" s="17" t="s">
        <v>19</v>
      </c>
      <c r="C18" s="12"/>
      <c r="D18" s="10"/>
      <c r="E18" s="10"/>
      <c r="F18" s="10"/>
      <c r="G18" s="14"/>
    </row>
    <row r="19" spans="2:7" ht="22.5" customHeight="1" x14ac:dyDescent="0.3">
      <c r="B19" s="17" t="s">
        <v>20</v>
      </c>
      <c r="C19" s="12"/>
      <c r="D19" s="10"/>
      <c r="E19" s="10"/>
      <c r="F19" s="10"/>
      <c r="G19" s="14"/>
    </row>
    <row r="20" spans="2:7" ht="23.25" customHeight="1" x14ac:dyDescent="0.3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4.4" x14ac:dyDescent="0.3"/>
  <cols>
    <col min="1" max="1" width="29.88671875" customWidth="1"/>
    <col min="2" max="2" width="28.33203125" customWidth="1"/>
    <col min="3" max="3" width="55.6640625" customWidth="1"/>
    <col min="4" max="5" width="16.44140625" hidden="1" customWidth="1"/>
    <col min="6" max="6" width="53.5546875" hidden="1" customWidth="1"/>
    <col min="7" max="7" width="13.6640625" customWidth="1"/>
  </cols>
  <sheetData>
    <row r="1" spans="1:6" ht="36.75" customHeight="1" x14ac:dyDescent="0.3">
      <c r="A1" s="1" t="s">
        <v>0</v>
      </c>
    </row>
    <row r="2" spans="1:6" ht="187.5" hidden="1" customHeight="1" x14ac:dyDescent="0.3">
      <c r="A2" s="1"/>
      <c r="F2" s="20" t="str">
        <f>F27</f>
        <v xml:space="preserve">B1-K2-W1 Realiseert (onderdelen van) een product
B1-K2-W2 Test het ontwikkelde product
</v>
      </c>
    </row>
    <row r="3" spans="1:6" x14ac:dyDescent="0.3">
      <c r="A3" s="43" t="s">
        <v>54</v>
      </c>
      <c r="B3" s="53">
        <v>42519</v>
      </c>
    </row>
    <row r="4" spans="1:6" x14ac:dyDescent="0.3">
      <c r="A4" s="43" t="s">
        <v>53</v>
      </c>
      <c r="B4" s="93" t="s">
        <v>67</v>
      </c>
      <c r="C4" s="93"/>
    </row>
    <row r="5" spans="1:6" ht="15" customHeight="1" x14ac:dyDescent="0.3">
      <c r="A5" s="34" t="s">
        <v>9</v>
      </c>
      <c r="B5" s="59" t="s">
        <v>68</v>
      </c>
      <c r="C5" s="59" t="s">
        <v>69</v>
      </c>
    </row>
    <row r="6" spans="1:6" x14ac:dyDescent="0.3">
      <c r="A6" t="s">
        <v>36</v>
      </c>
      <c r="B6" s="21"/>
      <c r="C6" s="79" t="s">
        <v>175</v>
      </c>
    </row>
    <row r="7" spans="1:6" x14ac:dyDescent="0.3">
      <c r="A7" t="s">
        <v>37</v>
      </c>
      <c r="B7" s="24" t="s">
        <v>41</v>
      </c>
      <c r="C7" s="79" t="s">
        <v>176</v>
      </c>
    </row>
    <row r="8" spans="1:6" x14ac:dyDescent="0.3">
      <c r="A8" t="s">
        <v>38</v>
      </c>
      <c r="B8" s="59" t="s">
        <v>70</v>
      </c>
      <c r="C8" s="45" t="s">
        <v>63</v>
      </c>
    </row>
    <row r="9" spans="1:6" ht="15" customHeight="1" x14ac:dyDescent="0.3">
      <c r="A9" s="47" t="s">
        <v>39</v>
      </c>
      <c r="B9" s="59" t="s">
        <v>71</v>
      </c>
      <c r="C9" s="59">
        <v>25187</v>
      </c>
    </row>
    <row r="12" spans="1:6" x14ac:dyDescent="0.3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3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3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3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3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3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3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3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3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3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3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3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3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3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3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3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3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1074420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4.4" x14ac:dyDescent="0.3"/>
  <cols>
    <col min="1" max="1" width="26.5546875" customWidth="1"/>
    <col min="2" max="2" width="18.5546875" customWidth="1"/>
    <col min="3" max="3" width="18.5546875" hidden="1" customWidth="1"/>
    <col min="4" max="4" width="19.5546875" hidden="1" customWidth="1"/>
    <col min="5" max="5" width="8.33203125" customWidth="1"/>
    <col min="6" max="6" width="17.33203125" customWidth="1"/>
    <col min="7" max="7" width="19.6640625" customWidth="1"/>
    <col min="8" max="10" width="21.6640625" customWidth="1"/>
    <col min="11" max="11" width="8.33203125" bestFit="1" customWidth="1"/>
  </cols>
  <sheetData>
    <row r="1" spans="1:11" ht="30" customHeight="1" x14ac:dyDescent="0.3">
      <c r="A1" s="1" t="s">
        <v>46</v>
      </c>
    </row>
    <row r="2" spans="1:11" ht="15" customHeight="1" x14ac:dyDescent="0.3">
      <c r="A2" s="1"/>
    </row>
    <row r="3" spans="1:11" x14ac:dyDescent="0.3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30.4" x14ac:dyDescent="0.3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57.6" x14ac:dyDescent="0.3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86.4" x14ac:dyDescent="0.3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44.8" x14ac:dyDescent="0.3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86.4" x14ac:dyDescent="0.3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3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2" x14ac:dyDescent="0.3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15.2" x14ac:dyDescent="0.3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0.8" x14ac:dyDescent="0.3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01.6" x14ac:dyDescent="0.3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3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3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3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3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3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3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3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3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3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3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3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3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3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3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3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3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3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3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3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3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3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3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3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3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3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3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3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3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3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3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3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3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3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3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3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3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3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3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3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3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3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3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3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3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3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3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3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3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3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3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3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3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3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3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3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3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3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3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3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3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3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3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3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3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3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3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3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3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3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3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3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3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3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3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3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3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3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3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3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3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3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3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3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3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3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3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3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3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3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3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3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3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3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3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3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3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3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3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3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3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3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3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3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3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3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3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3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3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3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3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3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3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3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3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3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3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3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3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3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3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3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3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3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3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3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3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3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3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3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3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3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3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3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3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3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3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3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3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3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3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3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60960</xdr:colOff>
                    <xdr:row>0</xdr:row>
                    <xdr:rowOff>60960</xdr:rowOff>
                  </from>
                  <to>
                    <xdr:col>7</xdr:col>
                    <xdr:colOff>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68580</xdr:colOff>
                    <xdr:row>0</xdr:row>
                    <xdr:rowOff>60960</xdr:rowOff>
                  </from>
                  <to>
                    <xdr:col>8</xdr:col>
                    <xdr:colOff>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workbookViewId="0">
      <selection activeCell="A5" sqref="A5"/>
    </sheetView>
  </sheetViews>
  <sheetFormatPr defaultRowHeight="14.4" x14ac:dyDescent="0.3"/>
  <cols>
    <col min="1" max="1" width="33.109375" customWidth="1"/>
    <col min="2" max="3" width="33.5546875" customWidth="1"/>
  </cols>
  <sheetData>
    <row r="1" spans="1:6" ht="31.2" x14ac:dyDescent="0.6">
      <c r="A1" s="85" t="s">
        <v>62</v>
      </c>
      <c r="B1" s="85"/>
      <c r="C1" s="85"/>
    </row>
    <row r="3" spans="1:6" ht="24" customHeight="1" x14ac:dyDescent="0.3">
      <c r="A3" s="80" t="s">
        <v>35</v>
      </c>
      <c r="B3" s="81"/>
      <c r="C3" s="82"/>
    </row>
    <row r="4" spans="1:6" ht="2.25" customHeight="1" x14ac:dyDescent="0.3">
      <c r="A4" s="30"/>
      <c r="B4" s="41"/>
      <c r="C4" s="41"/>
    </row>
    <row r="5" spans="1:6" s="16" customFormat="1" ht="34.5" customHeight="1" x14ac:dyDescent="0.3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3">
      <c r="A13" s="30"/>
      <c r="B13" s="32"/>
      <c r="C13" s="33"/>
    </row>
    <row r="14" spans="1:6" ht="222.75" customHeight="1" x14ac:dyDescent="0.3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29" workbookViewId="0">
      <selection activeCell="E36" sqref="E36"/>
    </sheetView>
  </sheetViews>
  <sheetFormatPr defaultRowHeight="14.4" x14ac:dyDescent="0.3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 x14ac:dyDescent="0.3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3">
      <c r="A2" t="s">
        <v>26</v>
      </c>
      <c r="B2" s="6">
        <f>VLOOKUP(B1,KerntakenEnWerkprocessen!B13:E27,3,FALSE)</f>
        <v>1</v>
      </c>
    </row>
    <row r="3" spans="1:7" hidden="1" x14ac:dyDescent="0.3">
      <c r="A3" t="s">
        <v>27</v>
      </c>
      <c r="B3" s="6">
        <f>VLOOKUP(B1,KerntakenEnWerkprocessen!B13:E27,4,FALSE)</f>
        <v>1</v>
      </c>
    </row>
    <row r="4" spans="1:7" hidden="1" x14ac:dyDescent="0.3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3">
      <c r="A5" t="s">
        <v>31</v>
      </c>
      <c r="B5" s="6">
        <f>SUM(M:M)</f>
        <v>0</v>
      </c>
    </row>
    <row r="6" spans="1:7" hidden="1" x14ac:dyDescent="0.3">
      <c r="A6" t="s">
        <v>42</v>
      </c>
      <c r="B6" s="6">
        <f>COUNTIF(N:N,1)</f>
        <v>2</v>
      </c>
    </row>
    <row r="7" spans="1:7" hidden="1" x14ac:dyDescent="0.3">
      <c r="A7" t="s">
        <v>43</v>
      </c>
      <c r="B7" s="6">
        <f>COUNTIF(N:N,2)+COUNTIF(N:N,3)</f>
        <v>5</v>
      </c>
    </row>
    <row r="8" spans="1:7" hidden="1" x14ac:dyDescent="0.3">
      <c r="A8" t="s">
        <v>34</v>
      </c>
      <c r="B8" s="6">
        <f>0.5*B4</f>
        <v>8.5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"/>
    <row r="21" spans="1:15" ht="24" customHeight="1" x14ac:dyDescent="0.3">
      <c r="B21" s="97" t="s">
        <v>120</v>
      </c>
      <c r="C21" s="97"/>
      <c r="D21" s="97"/>
      <c r="E21" s="97"/>
      <c r="F21" s="97"/>
      <c r="G21" s="97"/>
    </row>
    <row r="22" spans="1:15" hidden="1" x14ac:dyDescent="0.3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3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89999999999998" customHeight="1" x14ac:dyDescent="0.3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00000000000006" customHeight="1" x14ac:dyDescent="0.3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" customHeight="1" x14ac:dyDescent="0.3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89999999999998" customHeight="1" x14ac:dyDescent="0.3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" customHeight="1" x14ac:dyDescent="0.3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" customHeight="1" x14ac:dyDescent="0.3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" customHeight="1" x14ac:dyDescent="0.3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3">
      <c r="B31" t="s">
        <v>138</v>
      </c>
    </row>
    <row r="32" spans="1:15" ht="28.5" customHeight="1" x14ac:dyDescent="0.5">
      <c r="B32" s="98" t="s">
        <v>139</v>
      </c>
      <c r="C32" s="99"/>
      <c r="D32" s="99"/>
      <c r="E32" s="99"/>
      <c r="F32" s="99"/>
      <c r="G32" s="99"/>
    </row>
    <row r="33" spans="1:10" ht="26.1" customHeight="1" x14ac:dyDescent="0.3">
      <c r="B33" s="69" t="s">
        <v>140</v>
      </c>
    </row>
    <row r="34" spans="1:10" hidden="1" x14ac:dyDescent="0.3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3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3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3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3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3">
      <c r="B41" t="s">
        <v>148</v>
      </c>
    </row>
    <row r="42" spans="1:10" x14ac:dyDescent="0.3">
      <c r="B42" s="75" t="s">
        <v>14</v>
      </c>
      <c r="C42" t="s">
        <v>149</v>
      </c>
      <c r="H42" s="61" t="b">
        <f>E34</f>
        <v>0</v>
      </c>
    </row>
    <row r="43" spans="1:10" x14ac:dyDescent="0.3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3">
      <c r="B45" s="69" t="s">
        <v>151</v>
      </c>
    </row>
    <row r="46" spans="1:10" x14ac:dyDescent="0.3">
      <c r="B46" s="70" t="s">
        <v>152</v>
      </c>
      <c r="C46" s="70" t="s">
        <v>153</v>
      </c>
      <c r="D46" s="73" t="s">
        <v>154</v>
      </c>
    </row>
    <row r="47" spans="1:10" x14ac:dyDescent="0.3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3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3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3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3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3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3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3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3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3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3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3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3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3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3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3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3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3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3">
      <c r="B66" s="69" t="s">
        <v>155</v>
      </c>
    </row>
    <row r="67" spans="2:7" x14ac:dyDescent="0.3">
      <c r="B67" t="s">
        <v>156</v>
      </c>
    </row>
    <row r="68" spans="2:7" ht="35.1" customHeight="1" x14ac:dyDescent="0.3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3">
      <c r="B69" s="94"/>
      <c r="C69" s="94"/>
      <c r="D69" s="94"/>
      <c r="E69" s="94"/>
      <c r="F69" s="94"/>
      <c r="G69" s="94"/>
    </row>
    <row r="71" spans="2:7" ht="26.1" customHeight="1" x14ac:dyDescent="0.3">
      <c r="B71" s="69" t="s">
        <v>158</v>
      </c>
    </row>
    <row r="72" spans="2:7" ht="24.9" customHeight="1" x14ac:dyDescent="0.3">
      <c r="B72" s="19" t="s">
        <v>159</v>
      </c>
    </row>
    <row r="73" spans="2:7" ht="90" customHeight="1" x14ac:dyDescent="0.3">
      <c r="B73" s="77" t="s">
        <v>19</v>
      </c>
      <c r="C73" s="95"/>
      <c r="D73" s="95"/>
    </row>
    <row r="74" spans="2:7" ht="90" customHeight="1" x14ac:dyDescent="0.3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abSelected="1" topLeftCell="B25" workbookViewId="0">
      <selection activeCell="D27" sqref="D27"/>
    </sheetView>
  </sheetViews>
  <sheetFormatPr defaultRowHeight="14.4" x14ac:dyDescent="0.3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 x14ac:dyDescent="0.3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3">
      <c r="A2" t="s">
        <v>26</v>
      </c>
      <c r="B2" s="6">
        <f>VLOOKUP(B1,KerntakenEnWerkprocessen!B13:E27,3,FALSE)</f>
        <v>2</v>
      </c>
    </row>
    <row r="3" spans="1:7" hidden="1" x14ac:dyDescent="0.3">
      <c r="A3" t="s">
        <v>27</v>
      </c>
      <c r="B3" s="6">
        <f>VLOOKUP(B1,KerntakenEnWerkprocessen!B13:E27,4,FALSE)</f>
        <v>2</v>
      </c>
    </row>
    <row r="4" spans="1:7" hidden="1" x14ac:dyDescent="0.3">
      <c r="A4" t="s">
        <v>32</v>
      </c>
      <c r="B4" s="6">
        <f>SUM(N:N)</f>
        <v>9</v>
      </c>
      <c r="C4" s="56" t="s">
        <v>64</v>
      </c>
      <c r="D4" s="55" t="b">
        <f>IF(SUM(O:O)&gt;0,TRUE,FALSE)</f>
        <v>1</v>
      </c>
    </row>
    <row r="5" spans="1:7" hidden="1" x14ac:dyDescent="0.3">
      <c r="A5" t="s">
        <v>31</v>
      </c>
      <c r="B5" s="6">
        <f>SUM(M:M)</f>
        <v>6</v>
      </c>
    </row>
    <row r="6" spans="1:7" hidden="1" x14ac:dyDescent="0.3">
      <c r="A6" t="s">
        <v>42</v>
      </c>
      <c r="B6" s="6">
        <f>COUNTIF(N:N,1)</f>
        <v>0</v>
      </c>
    </row>
    <row r="7" spans="1:7" hidden="1" x14ac:dyDescent="0.3">
      <c r="A7" t="s">
        <v>43</v>
      </c>
      <c r="B7" s="6">
        <f>COUNTIF(N:N,2)+COUNTIF(N:N,3)</f>
        <v>3</v>
      </c>
    </row>
    <row r="8" spans="1:7" hidden="1" x14ac:dyDescent="0.3">
      <c r="A8" t="s">
        <v>34</v>
      </c>
      <c r="B8" s="6">
        <f>0.5*B4</f>
        <v>4.5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"/>
    <row r="21" spans="1:15" ht="24" customHeight="1" x14ac:dyDescent="0.3">
      <c r="B21" s="97" t="s">
        <v>160</v>
      </c>
      <c r="C21" s="97"/>
      <c r="D21" s="97"/>
      <c r="E21" s="97"/>
      <c r="F21" s="97"/>
      <c r="G21" s="97"/>
    </row>
    <row r="22" spans="1:15" hidden="1" x14ac:dyDescent="0.3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3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" customHeight="1" x14ac:dyDescent="0.3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 t="b">
        <v>1</v>
      </c>
      <c r="J24" s="61" t="b">
        <v>0</v>
      </c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2</v>
      </c>
    </row>
    <row r="25" spans="1:15" ht="114.9" customHeight="1" x14ac:dyDescent="0.3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 t="b">
        <v>0</v>
      </c>
      <c r="L25" s="61" t="b">
        <v>1</v>
      </c>
      <c r="M25" s="61">
        <f>IF(L25=TRUE,3,IF(K25=TRUE,2,IF(J25=TRUE,1,IF(I25=TRUE,0,0))))</f>
        <v>3</v>
      </c>
      <c r="N25" s="61">
        <f>(4-COUNTBLANK(D25:G25))-1</f>
        <v>3</v>
      </c>
      <c r="O25" s="61">
        <f>COUNTA(I25:L25)</f>
        <v>2</v>
      </c>
    </row>
    <row r="26" spans="1:15" ht="249.9" customHeight="1" x14ac:dyDescent="0.3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 t="b">
        <v>0</v>
      </c>
      <c r="K26" s="61" t="b">
        <v>0</v>
      </c>
      <c r="L26" s="61" t="b">
        <v>1</v>
      </c>
      <c r="M26" s="61">
        <f>IF(L26=TRUE,3,IF(K26=TRUE,2,IF(J26=TRUE,1,IF(I26=TRUE,0,0))))</f>
        <v>3</v>
      </c>
      <c r="N26" s="61">
        <f>(4-COUNTBLANK(D26:G26))-1</f>
        <v>3</v>
      </c>
      <c r="O26" s="61">
        <f>COUNTA(I26:L26)</f>
        <v>3</v>
      </c>
    </row>
    <row r="27" spans="1:15" x14ac:dyDescent="0.3">
      <c r="B27" t="s">
        <v>138</v>
      </c>
    </row>
    <row r="28" spans="1:15" ht="28.5" customHeight="1" x14ac:dyDescent="0.5">
      <c r="B28" s="98" t="s">
        <v>165</v>
      </c>
      <c r="C28" s="99"/>
      <c r="D28" s="99"/>
      <c r="E28" s="99"/>
      <c r="F28" s="99"/>
      <c r="G28" s="99"/>
    </row>
    <row r="29" spans="1:15" ht="26.1" customHeight="1" x14ac:dyDescent="0.3">
      <c r="B29" s="69" t="s">
        <v>140</v>
      </c>
    </row>
    <row r="30" spans="1:15" hidden="1" x14ac:dyDescent="0.3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1</v>
      </c>
    </row>
    <row r="31" spans="1:15" x14ac:dyDescent="0.3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3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Behaald</v>
      </c>
      <c r="J32" s="61" t="b">
        <f>IF(VLOOKUP($A32,$A$21:$N$27,13,FALSE)&gt;0,TRUE,FALSE)</f>
        <v>1</v>
      </c>
    </row>
    <row r="34" spans="2:4" ht="26.1" customHeight="1" x14ac:dyDescent="0.3">
      <c r="B34" s="69" t="s">
        <v>151</v>
      </c>
    </row>
    <row r="35" spans="2:4" x14ac:dyDescent="0.3">
      <c r="B35" s="70" t="s">
        <v>152</v>
      </c>
      <c r="C35" s="70" t="s">
        <v>153</v>
      </c>
      <c r="D35" s="73" t="s">
        <v>154</v>
      </c>
    </row>
    <row r="36" spans="2:4" x14ac:dyDescent="0.3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/>
      </c>
    </row>
    <row r="37" spans="2:4" x14ac:dyDescent="0.3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3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3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3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3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3">
      <c r="B42" s="71">
        <v>6</v>
      </c>
      <c r="C42" s="76">
        <f t="shared" si="0"/>
        <v>7</v>
      </c>
      <c r="D42" s="63" t="str">
        <f t="shared" si="1"/>
        <v>X</v>
      </c>
    </row>
    <row r="43" spans="2:4" x14ac:dyDescent="0.3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3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3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3">
      <c r="B47" s="69" t="s">
        <v>155</v>
      </c>
    </row>
    <row r="48" spans="2:4" x14ac:dyDescent="0.3">
      <c r="B48" t="s">
        <v>156</v>
      </c>
    </row>
    <row r="49" spans="2:7" ht="35.1" customHeight="1" x14ac:dyDescent="0.3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3">
      <c r="B50" s="94"/>
      <c r="C50" s="94"/>
      <c r="D50" s="94"/>
      <c r="E50" s="94"/>
      <c r="F50" s="94"/>
      <c r="G50" s="94"/>
    </row>
    <row r="52" spans="2:7" ht="26.1" customHeight="1" x14ac:dyDescent="0.3">
      <c r="B52" s="69" t="s">
        <v>158</v>
      </c>
    </row>
    <row r="53" spans="2:7" ht="24.9" customHeight="1" x14ac:dyDescent="0.3">
      <c r="B53" s="19" t="s">
        <v>159</v>
      </c>
    </row>
    <row r="54" spans="2:7" ht="90" customHeight="1" x14ac:dyDescent="0.3">
      <c r="B54" s="77" t="s">
        <v>19</v>
      </c>
      <c r="C54" s="95"/>
      <c r="D54" s="95"/>
    </row>
    <row r="55" spans="2:7" ht="90" customHeight="1" x14ac:dyDescent="0.3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max van den boom</cp:lastModifiedBy>
  <cp:lastPrinted>2016-07-21T08:14:17Z</cp:lastPrinted>
  <dcterms:created xsi:type="dcterms:W3CDTF">2015-10-30T11:14:52Z</dcterms:created>
  <dcterms:modified xsi:type="dcterms:W3CDTF">2020-06-08T11:19:30Z</dcterms:modified>
</cp:coreProperties>
</file>