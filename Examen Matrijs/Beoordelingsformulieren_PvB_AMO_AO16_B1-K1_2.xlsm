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6.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worksheets/sheet2.xml" ContentType="application/vnd.openxmlformats-officedocument.spreadsheetml.worksheet+xml"/>
  <Override PartName="/xl/drawings/drawing3.xml" ContentType="application/vnd.openxmlformats-officedocument.drawing+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ctrlProps/ctrlProp65.xml" ContentType="application/vnd.ms-excel.controlproperties+xml"/>
  <Override PartName="/xl/ctrlProps/ctrlProp64.xml" ContentType="application/vnd.ms-excel.controlproperties+xml"/>
  <Override PartName="/xl/ctrlProps/ctrlProp2.xml" ContentType="application/vnd.ms-excel.controlproperties+xml"/>
  <Override PartName="/xl/ctrlProps/ctrlProp66.xml" ContentType="application/vnd.ms-excel.controlproperties+xml"/>
  <Override PartName="/xl/ctrlProps/ctrlProp71.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63.xml" ContentType="application/vnd.ms-excel.controlproperties+xml"/>
  <Override PartName="/xl/ctrlProps/ctrlProp67.xml" ContentType="application/vnd.ms-excel.controlproperties+xml"/>
  <Override PartName="/xl/ctrlProps/ctrlProp57.xml" ContentType="application/vnd.ms-excel.controlproperties+xml"/>
  <Override PartName="/xl/ctrlProps/ctrlProp6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72.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2.xml" ContentType="application/vnd.ms-excel.controlproperties+xml"/>
  <Override PartName="/xl/comments2.xml" ContentType="application/vnd.openxmlformats-officedocument.spreadsheetml.comments+xml"/>
  <Override PartName="/xl/ctrlProps/ctrlProp74.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trlProps/ctrlProp83.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ctrlProps/ctrlProp51.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73.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5.xml" ContentType="application/vnd.ms-excel.controlproperties+xml"/>
  <Override PartName="/xl/ctrlProps/ctrlProp24.xml" ContentType="application/vnd.ms-excel.controlproperties+xml"/>
  <Override PartName="/xl/ctrlProps/ctrlProp2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7.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trlProps/ctrlProp41.xml" ContentType="application/vnd.ms-excel.controlproperties+xml"/>
  <Override PartName="/xl/ctrlProps/ctrlProp40.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7.xml" ContentType="application/vnd.ms-excel.controlproperties+xml"/>
  <Override PartName="/xl/ctrlProps/ctrlProp46.xml" ContentType="application/vnd.ms-excel.controlproperties+xml"/>
  <Override PartName="/xl/ctrlProps/ctrlProp45.xml" ContentType="application/vnd.ms-excel.controlproperties+xml"/>
  <Override PartName="/xl/ctrlProps/ctrlProp44.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1.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50.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4" r:id="rId6"/>
    <sheet name="B1-K1-W1" sheetId="95" r:id="rId7"/>
    <sheet name="B1-K1-W2" sheetId="96" r:id="rId8"/>
    <sheet name="B1-K1-W3" sheetId="97" r:id="rId9"/>
    <sheet name="B1-K1-W4" sheetId="98" r:id="rId10"/>
  </sheets>
  <functionGroups builtInGroupCount="17"/>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3" i="98" l="1"/>
  <c r="D42" i="98"/>
  <c r="D41" i="98"/>
  <c r="D40" i="98"/>
  <c r="D39" i="98"/>
  <c r="D38" i="98"/>
  <c r="D37" i="98"/>
  <c r="J33" i="98"/>
  <c r="E31" i="98" s="1"/>
  <c r="D33" i="98"/>
  <c r="B33" i="98"/>
  <c r="H27" i="98"/>
  <c r="C27" i="98" s="1"/>
  <c r="O27" i="98"/>
  <c r="M27" i="98"/>
  <c r="E27" i="98"/>
  <c r="D27" i="98"/>
  <c r="B27" i="98"/>
  <c r="H26" i="98"/>
  <c r="C26" i="98" s="1"/>
  <c r="O26" i="98"/>
  <c r="M26" i="98"/>
  <c r="E26" i="98"/>
  <c r="D26" i="98"/>
  <c r="B26" i="98"/>
  <c r="H25" i="98"/>
  <c r="C25" i="98" s="1"/>
  <c r="O25" i="98"/>
  <c r="M25" i="98"/>
  <c r="E25" i="98"/>
  <c r="D25" i="98"/>
  <c r="B25" i="98"/>
  <c r="H24" i="98"/>
  <c r="O24" i="98"/>
  <c r="M24" i="98"/>
  <c r="G24" i="98"/>
  <c r="F24" i="98"/>
  <c r="E24" i="98"/>
  <c r="D24" i="98"/>
  <c r="B24" i="98"/>
  <c r="H22" i="98"/>
  <c r="B10" i="98"/>
  <c r="B5" i="98"/>
  <c r="D4" i="98"/>
  <c r="B3" i="98"/>
  <c r="B2" i="98"/>
  <c r="C1" i="98"/>
  <c r="B11" i="98" s="1"/>
  <c r="D70" i="97"/>
  <c r="D69" i="97"/>
  <c r="D68" i="97"/>
  <c r="D67" i="97"/>
  <c r="D66" i="97"/>
  <c r="D65" i="97"/>
  <c r="D64" i="97"/>
  <c r="D63" i="97"/>
  <c r="D62" i="97"/>
  <c r="D61" i="97"/>
  <c r="D60" i="97"/>
  <c r="D59" i="97"/>
  <c r="D58" i="97"/>
  <c r="D57" i="97"/>
  <c r="D56" i="97"/>
  <c r="D55" i="97"/>
  <c r="D54" i="97"/>
  <c r="D53" i="97"/>
  <c r="D52" i="97"/>
  <c r="D51" i="97"/>
  <c r="J42" i="97"/>
  <c r="H42" i="97" s="1"/>
  <c r="B42" i="97"/>
  <c r="J41" i="97"/>
  <c r="H41" i="97" s="1"/>
  <c r="B41" i="97"/>
  <c r="J40" i="97"/>
  <c r="B40" i="97"/>
  <c r="H34" i="97"/>
  <c r="C34" i="97" s="1"/>
  <c r="O34" i="97"/>
  <c r="M34" i="97"/>
  <c r="E34" i="97"/>
  <c r="D34" i="97"/>
  <c r="B34" i="97"/>
  <c r="H33" i="97"/>
  <c r="C33" i="97" s="1"/>
  <c r="O33" i="97"/>
  <c r="M33" i="97"/>
  <c r="G33" i="97"/>
  <c r="F33" i="97"/>
  <c r="E33" i="97"/>
  <c r="D33" i="97"/>
  <c r="B33" i="97"/>
  <c r="H32" i="97"/>
  <c r="C32" i="97" s="1"/>
  <c r="O32" i="97"/>
  <c r="M32" i="97"/>
  <c r="G32" i="97"/>
  <c r="F32" i="97"/>
  <c r="E32" i="97"/>
  <c r="D32" i="97"/>
  <c r="B32" i="97"/>
  <c r="H30" i="97"/>
  <c r="H27" i="97"/>
  <c r="C27" i="97" s="1"/>
  <c r="O27" i="97"/>
  <c r="M27" i="97"/>
  <c r="G27" i="97"/>
  <c r="F27" i="97"/>
  <c r="E27" i="97"/>
  <c r="D27" i="97"/>
  <c r="B27" i="97"/>
  <c r="H26" i="97"/>
  <c r="C26" i="97" s="1"/>
  <c r="O26" i="97"/>
  <c r="M26" i="97"/>
  <c r="G26" i="97"/>
  <c r="F26" i="97"/>
  <c r="E26" i="97"/>
  <c r="D26" i="97"/>
  <c r="B26" i="97"/>
  <c r="H25" i="97"/>
  <c r="C25" i="97" s="1"/>
  <c r="O25" i="97"/>
  <c r="M25" i="97"/>
  <c r="B5" i="97" s="1"/>
  <c r="G25" i="97"/>
  <c r="F25" i="97"/>
  <c r="E25" i="97"/>
  <c r="D25" i="97"/>
  <c r="B25" i="97"/>
  <c r="H24" i="97"/>
  <c r="C24" i="97" s="1"/>
  <c r="O24" i="97"/>
  <c r="M24" i="97"/>
  <c r="G24" i="97"/>
  <c r="F24" i="97"/>
  <c r="E24" i="97"/>
  <c r="D24" i="97"/>
  <c r="B24" i="97"/>
  <c r="H22" i="97"/>
  <c r="B10" i="97"/>
  <c r="D4" i="97"/>
  <c r="B3" i="97"/>
  <c r="B2" i="97"/>
  <c r="C1" i="97"/>
  <c r="B11" i="97" s="1"/>
  <c r="D42" i="96"/>
  <c r="D41" i="96"/>
  <c r="D40" i="96"/>
  <c r="D39" i="96"/>
  <c r="D38" i="96"/>
  <c r="D37" i="96"/>
  <c r="D36" i="96"/>
  <c r="D35" i="96"/>
  <c r="D34" i="96"/>
  <c r="D33" i="96"/>
  <c r="D32" i="96"/>
  <c r="H27" i="96"/>
  <c r="C27" i="96" s="1"/>
  <c r="O27" i="96"/>
  <c r="M27" i="96"/>
  <c r="E27" i="96"/>
  <c r="D27" i="96"/>
  <c r="B27" i="96"/>
  <c r="H26" i="96"/>
  <c r="C26" i="96" s="1"/>
  <c r="O26" i="96"/>
  <c r="M26" i="96"/>
  <c r="G26" i="96"/>
  <c r="F26" i="96"/>
  <c r="E26" i="96"/>
  <c r="D26" i="96"/>
  <c r="B26" i="96"/>
  <c r="H25" i="96"/>
  <c r="C25" i="96" s="1"/>
  <c r="O25" i="96"/>
  <c r="M25" i="96"/>
  <c r="G25" i="96"/>
  <c r="F25" i="96"/>
  <c r="E25" i="96"/>
  <c r="D25" i="96"/>
  <c r="B25" i="96"/>
  <c r="H24" i="96"/>
  <c r="C24" i="96" s="1"/>
  <c r="O24" i="96"/>
  <c r="M24" i="96"/>
  <c r="G24" i="96"/>
  <c r="F24" i="96"/>
  <c r="E24" i="96"/>
  <c r="D24" i="96"/>
  <c r="B24" i="96"/>
  <c r="H22" i="96"/>
  <c r="B10" i="96"/>
  <c r="B5" i="96"/>
  <c r="D4" i="96"/>
  <c r="B3" i="96"/>
  <c r="B2" i="96"/>
  <c r="C1" i="96"/>
  <c r="B11" i="96" s="1"/>
  <c r="D57" i="95"/>
  <c r="D56" i="95"/>
  <c r="D55" i="95"/>
  <c r="D54" i="95"/>
  <c r="D53" i="95"/>
  <c r="D52" i="95"/>
  <c r="D51" i="95"/>
  <c r="D50" i="95"/>
  <c r="D49" i="95"/>
  <c r="D48" i="95"/>
  <c r="D47" i="95"/>
  <c r="D46" i="95"/>
  <c r="D45" i="95"/>
  <c r="D44" i="95"/>
  <c r="D43" i="95"/>
  <c r="D42" i="95"/>
  <c r="D41" i="95"/>
  <c r="D40" i="95"/>
  <c r="J36" i="95"/>
  <c r="E34" i="95" s="1"/>
  <c r="D36" i="95"/>
  <c r="B36" i="95"/>
  <c r="H30" i="95"/>
  <c r="C30" i="95" s="1"/>
  <c r="O30" i="95"/>
  <c r="M30" i="95"/>
  <c r="E30" i="95"/>
  <c r="D30" i="95"/>
  <c r="B30" i="95"/>
  <c r="H29" i="95"/>
  <c r="C29" i="95" s="1"/>
  <c r="O29" i="95"/>
  <c r="M29" i="95"/>
  <c r="G29" i="95"/>
  <c r="F29" i="95"/>
  <c r="E29" i="95"/>
  <c r="D29" i="95"/>
  <c r="B29" i="95"/>
  <c r="H28" i="95"/>
  <c r="C28" i="95" s="1"/>
  <c r="O28" i="95"/>
  <c r="M28" i="95"/>
  <c r="G28" i="95"/>
  <c r="F28" i="95"/>
  <c r="E28" i="95"/>
  <c r="D28" i="95"/>
  <c r="B28" i="95"/>
  <c r="H27" i="95"/>
  <c r="C27" i="95" s="1"/>
  <c r="O27" i="95"/>
  <c r="D4" i="95" s="1"/>
  <c r="M27" i="95"/>
  <c r="G27" i="95"/>
  <c r="F27" i="95"/>
  <c r="E27" i="95"/>
  <c r="D27" i="95"/>
  <c r="B27" i="95"/>
  <c r="H26" i="95"/>
  <c r="C26" i="95" s="1"/>
  <c r="O26" i="95"/>
  <c r="M26" i="95"/>
  <c r="G26" i="95"/>
  <c r="F26" i="95"/>
  <c r="E26" i="95"/>
  <c r="D26" i="95"/>
  <c r="B26" i="95"/>
  <c r="H25" i="95"/>
  <c r="O25" i="95"/>
  <c r="M25" i="95"/>
  <c r="G25" i="95"/>
  <c r="F25" i="95"/>
  <c r="E25" i="95"/>
  <c r="D25" i="95"/>
  <c r="B25" i="95"/>
  <c r="H24" i="95"/>
  <c r="C24" i="95" s="1"/>
  <c r="O24" i="95"/>
  <c r="M24" i="95"/>
  <c r="E24" i="95"/>
  <c r="D24" i="95"/>
  <c r="B24" i="95"/>
  <c r="H22" i="95"/>
  <c r="B10" i="95"/>
  <c r="B5" i="95"/>
  <c r="B3" i="95"/>
  <c r="B2" i="95"/>
  <c r="C1" i="95"/>
  <c r="B11" i="95" s="1"/>
  <c r="B14" i="94"/>
  <c r="B12" i="94"/>
  <c r="C11" i="94"/>
  <c r="B11" i="94"/>
  <c r="B10" i="94"/>
  <c r="B9" i="94"/>
  <c r="B8" i="94"/>
  <c r="B7" i="94"/>
  <c r="B6" i="94"/>
  <c r="C5" i="94"/>
  <c r="B5" i="94"/>
  <c r="N34" i="97" l="1"/>
  <c r="N24" i="95"/>
  <c r="N27" i="96"/>
  <c r="N25" i="95"/>
  <c r="N27" i="95"/>
  <c r="N28" i="95"/>
  <c r="N29" i="95"/>
  <c r="N30" i="95"/>
  <c r="N25" i="98"/>
  <c r="N27" i="98"/>
  <c r="N26" i="95"/>
  <c r="N26" i="96"/>
  <c r="N24" i="97"/>
  <c r="N25" i="97"/>
  <c r="N32" i="97"/>
  <c r="N33" i="97"/>
  <c r="I42" i="97"/>
  <c r="C31" i="98"/>
  <c r="C34" i="95"/>
  <c r="N27" i="97"/>
  <c r="C24" i="98"/>
  <c r="N26" i="98"/>
  <c r="C25" i="95"/>
  <c r="N24" i="96"/>
  <c r="N25" i="96"/>
  <c r="N26" i="97"/>
  <c r="N24" i="98"/>
  <c r="E38" i="97"/>
  <c r="H46" i="97" s="1"/>
  <c r="I41" i="97"/>
  <c r="I40" i="97"/>
  <c r="H40" i="97"/>
  <c r="C1" i="27"/>
  <c r="B11" i="27" s="1"/>
  <c r="B6" i="96" l="1"/>
  <c r="B4" i="98"/>
  <c r="B8" i="98" s="1"/>
  <c r="C43" i="98" s="1"/>
  <c r="B6" i="98"/>
  <c r="B6" i="95"/>
  <c r="B4" i="97"/>
  <c r="B8" i="97" s="1"/>
  <c r="C70" i="97" s="1"/>
  <c r="C37" i="98"/>
  <c r="B7" i="98"/>
  <c r="B4" i="95"/>
  <c r="B8" i="95" s="1"/>
  <c r="C51" i="95" s="1"/>
  <c r="B7" i="97"/>
  <c r="B7" i="95"/>
  <c r="B6" i="97"/>
  <c r="B7" i="96"/>
  <c r="H47" i="97"/>
  <c r="C38" i="97" s="1"/>
  <c r="C40" i="98"/>
  <c r="B4" i="96"/>
  <c r="B8" i="96" s="1"/>
  <c r="C44" i="95"/>
  <c r="C39" i="98"/>
  <c r="D4" i="27"/>
  <c r="C41" i="98" l="1"/>
  <c r="C38" i="98"/>
  <c r="C42" i="98"/>
  <c r="C59" i="97"/>
  <c r="C60" i="97"/>
  <c r="C53" i="97"/>
  <c r="C66" i="97"/>
  <c r="C68" i="97"/>
  <c r="C67" i="97"/>
  <c r="C61" i="97"/>
  <c r="C52" i="95"/>
  <c r="C52" i="97"/>
  <c r="C56" i="97"/>
  <c r="C69" i="97"/>
  <c r="C57" i="97"/>
  <c r="C43" i="95"/>
  <c r="C65" i="97"/>
  <c r="C55" i="97"/>
  <c r="C51" i="97"/>
  <c r="C64" i="97"/>
  <c r="C58" i="97"/>
  <c r="C54" i="97"/>
  <c r="C63" i="97"/>
  <c r="C62" i="97"/>
  <c r="C57" i="95"/>
  <c r="C42" i="95"/>
  <c r="C54" i="95"/>
  <c r="C47" i="95"/>
  <c r="C46" i="95"/>
  <c r="C56" i="95"/>
  <c r="C49" i="95"/>
  <c r="C48" i="95"/>
  <c r="C41" i="95"/>
  <c r="C53" i="95"/>
  <c r="C40" i="95"/>
  <c r="C50" i="95"/>
  <c r="C45" i="95"/>
  <c r="C55" i="95"/>
  <c r="C42" i="96"/>
  <c r="C33" i="96"/>
  <c r="C41" i="96"/>
  <c r="C38" i="96"/>
  <c r="C35" i="96"/>
  <c r="C32" i="96"/>
  <c r="C40" i="96"/>
  <c r="C37" i="96"/>
  <c r="C34" i="96"/>
  <c r="C39" i="96"/>
  <c r="C36" i="96"/>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25" i="2" l="1"/>
  <c r="D24" i="2"/>
  <c r="D23" i="2"/>
  <c r="D154" i="2"/>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<sst xmlns="http://schemas.openxmlformats.org/spreadsheetml/2006/main" count="505" uniqueCount="255">
  <si>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</si>
  <si>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</si>
  <si>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</si>
  <si>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</si>
  <si>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</si>
  <si>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</si>
  <si>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</si>
  <si>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</si>
  <si>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</si>
  <si>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</si>
  <si>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</si>
  <si>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</si>
  <si>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</si>
  <si>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</si>
  <si>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</si>
  <si>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</si>
  <si>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</si>
  <si>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</si>
  <si>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</si>
  <si>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</si>
  <si>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</si>
  <si>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</si>
  <si>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</si>
  <si>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</si>
  <si>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</si>
  <si>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</si>
  <si>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</si>
  <si>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</si>
  <si>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</si>
  <si>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</si>
  <si>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</si>
  <si>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</si>
  <si>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</si>
  <si>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</si>
  <si>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</si>
  <si>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</si>
  <si>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</si>
  <si>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</si>
  <si>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</si>
  <si>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</si>
  <si>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</si>
  <si>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</si>
  <si>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</si>
  <si>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</si>
  <si>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</si>
  <si>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</si>
  <si>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</si>
  <si>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</si>
  <si>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</si>
  <si>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</si>
  <si>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</si>
  <si>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</si>
  <si>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</si>
  <si>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</si>
  <si>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</si>
  <si>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</si>
  <si>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</si>
  <si>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</si>
  <si>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</si>
  <si>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</si>
  <si>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</si>
  <si>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</si>
  <si>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</si>
  <si>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</si>
  <si>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</si>
  <si>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</si>
  <si>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</si>
  <si>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</si>
  <si>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</si>
  <si>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</si>
  <si>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</si>
  <si>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</si>
  <si>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</si>
  <si>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</si>
  <si>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</si>
  <si>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</si>
  <si>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</si>
  <si>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</si>
  <si>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</si>
  <si>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</si>
  <si>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</si>
  <si>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</si>
  <si>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</si>
  <si>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</si>
  <si>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</si>
  <si>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</si>
  <si>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</si>
  <si>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</si>
  <si>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</si>
  <si>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</si>
  <si>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</si>
  <si>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</si>
  <si>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</si>
  <si>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</si>
  <si>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</si>
  <si>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</si>
  <si>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</si>
  <si>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</si>
  <si>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</si>
  <si>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</si>
  <si>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</si>
  <si>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</si>
  <si>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</si>
  <si>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</si>
  <si>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</si>
  <si>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</si>
  <si>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</si>
  <si>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</si>
  <si>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</si>
  <si>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</si>
  <si>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</si>
  <si>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</si>
  <si>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</si>
  <si>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</si>
  <si>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</si>
  <si>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</si>
  <si>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</si>
  <si>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</si>
  <si>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</si>
  <si>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</si>
  <si>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</si>
  <si>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</si>
  <si>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</si>
  <si>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</si>
  <si>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</si>
  <si>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</si>
  <si>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</si>
  <si>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</si>
  <si>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</si>
  <si>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</si>
  <si>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</si>
  <si>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</si>
  <si>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</si>
  <si>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</si>
  <si>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</si>
  <si>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</si>
  <si>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</si>
  <si>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</si>
  <si>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</si>
  <si>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</si>
  <si>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</si>
  <si>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</si>
  <si>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</si>
  <si>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</si>
  <si>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</si>
  <si>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</si>
  <si>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</si>
  <si>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</si>
  <si>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</si>
  <si>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</si>
  <si>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</si>
  <si>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</si>
  <si>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</si>
  <si>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</si>
  <si>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</si>
  <si>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</si>
  <si>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</si>
  <si>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</si>
  <si>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</si>
  <si>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</si>
  <si>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</si>
  <si>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</si>
  <si>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</si>
  <si>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</si>
  <si>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</si>
  <si>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</si>
  <si>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</si>
  <si>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</si>
  <si>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</si>
  <si>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</si>
  <si>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De documentatie is niet volledig en/of correct en/of duidelijk.</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</si>
  <si>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</si>
  <si>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</si>
  <si>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</si>
  <si>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</si>
  <si>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</si>
  <si>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</si>
  <si>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</si>
  <si>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</si>
  <si>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</si>
  <si>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</si>
  <si>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</si>
  <si>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</si>
  <si>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</si>
  <si>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</si>
  <si>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</si>
  <si>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</si>
  <si>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</si>
  <si>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</si>
  <si>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</si>
  <si>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</si>
  <si>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</si>
  <si>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</si>
  <si>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</si>
  <si>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</si>
  <si>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</si>
  <si>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</si>
  <si>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</si>
  <si>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</si>
  <si>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</si>
  <si>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</si>
  <si>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</si>
  <si>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</si>
  <si>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</si>
  <si>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</si>
  <si>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</si>
  <si>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</si>
  <si>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</si>
  <si>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</si>
  <si>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</si>
  <si>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</si>
  <si>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</si>
  <si>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</si>
  <si>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</si>
  <si>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</si>
  <si>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</si>
  <si>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</si>
  <si>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</si>
  <si>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</si>
  <si>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</si>
  <si>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</si>
  <si>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</si>
  <si>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</si>
  <si>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</si>
  <si>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</si>
  <si>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</si>
  <si>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</si>
  <si>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</si>
  <si>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</si>
  <si>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</si>
  <si>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</si>
  <si>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</si>
  <si>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</si>
  <si>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</si>
  <si>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</si>
  <si>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</si>
  <si>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</si>
  <si>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</si>
  <si>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</si>
  <si>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</si>
  <si>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</si>
  <si>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</si>
  <si>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</si>
  <si>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</si>
  <si>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</si>
  <si>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</si>
  <si>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</si>
  <si>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</si>
  <si>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</si>
  <si>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</si>
  <si>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</si>
  <si>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</si>
  <si>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BF_AMO_AO16-B1-K1_2</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</si>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</sst>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7" fillId="11" borderId="0" applyNumberFormat="0" applyBorder="0" applyAlignment="0" applyProtection="0"/>
  </cellStyleXfs>
  <cellXfs count="10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9"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Font="1" applyBorder="1" applyAlignment="1">
      <alignment horizontal="left" vertical="top" wrapText="1" indent="3"/>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0" xfId="0" applyFill="1" applyBorder="1" applyAlignment="1">
      <alignment horizontal="left" vertical="center" indent="3"/>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0" fontId="6" fillId="10" borderId="0" xfId="0" applyFont="1" applyFill="1" applyAlignment="1">
      <alignment horizontal="left" vertical="top" wrapText="1"/>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0" xfId="0" applyFill="1" applyBorder="1" applyAlignment="1">
      <alignment vertical="top"/>
    </xf>
    <xf numFmtId="0" fontId="0" fillId="0" borderId="10" xfId="0" applyBorder="1"/>
    <xf numFmtId="0" fontId="0" fillId="0" borderId="16" xfId="0" applyBorder="1"/>
    <xf numFmtId="0" fontId="0" fillId="12" borderId="10"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xmlns=""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 Type="http://schemas.openxmlformats.org/officeDocument/2006/relationships/vmlDrawing" Target="../drawings/vmlDrawing7.v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7">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BF_AMO_AO16-B1-K1_2</v>
      </c>
      <c r="C5" s="44">
        <f>KerntakenEnWerkprocessen!B3</f>
        <v>42519</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bijdrage aan het ontwikkeltraject</v>
      </c>
      <c r="C12" s="83"/>
    </row>
    <row r="13" spans="1:6" s="16" customFormat="1" ht="2.1" customHeight="1" x14ac:dyDescent="0.25">
      <c r="A13" s="30"/>
      <c r="B13" s="32"/>
      <c r="C13" s="33"/>
    </row>
    <row r="14" spans="1:6" ht="222.75" customHeight="1" x14ac:dyDescent="0.25">
      <c r="A14" s="31" t="s">
        <v>10</v>
      </c>
      <c r="B14" s="82" t="str">
        <f>KerntakenEnWerkprocessen!F2</f>
        <v xml:space="preserve">B1-K1-W1 Stelt de opdracht vast
B1-K1-W2 Levert een bijdrage aan het projectplan
B1-K1-W3 Levert een bijdrage aan het ontwerp
B1-K1-W4 Bereidt de realisatie voor 
</v>
      </c>
      <c r="C14" s="82"/>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6"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5" t="s">
        <v>64</v>
      </c>
      <c r="D4" s="54"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e">
        <f>CONCATENATE(VLOOKUP(B1,werkprocessen,1,FALSE),": ",C1)</f>
        <v>#N/A</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C10" sqref="C10"/>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B1-K1-W1 Stelt de opdracht vast
B1-K1-W2 Levert een bijdrage aan het projectplan
B1-K1-W3 Levert een bijdrage aan het ontwerp
B1-K1-W4 Bereidt de realisatie voor 
</v>
      </c>
    </row>
    <row r="3" spans="1:6" x14ac:dyDescent="0.25">
      <c r="A3" s="43" t="s">
        <v>54</v>
      </c>
      <c r="B3" s="53">
        <v>42519</v>
      </c>
    </row>
    <row r="4" spans="1:6" x14ac:dyDescent="0.25">
      <c r="A4" s="43" t="s">
        <v>53</v>
      </c>
      <c r="B4" s="92" t="s">
        <v>252</v>
      </c>
      <c r="C4" s="92"/>
    </row>
    <row r="5" spans="1:6" ht="15" customHeight="1" x14ac:dyDescent="0.25">
      <c r="A5" s="34" t="s">
        <v>9</v>
      </c>
      <c r="B5" s="58" t="s">
        <v>67</v>
      </c>
      <c r="C5" s="58" t="s">
        <v>68</v>
      </c>
    </row>
    <row r="6" spans="1:6" ht="30" x14ac:dyDescent="0.25">
      <c r="A6" t="s">
        <v>36</v>
      </c>
      <c r="B6" s="21"/>
      <c r="C6" s="78" t="s">
        <v>253</v>
      </c>
    </row>
    <row r="7" spans="1:6" x14ac:dyDescent="0.25">
      <c r="A7" t="s">
        <v>37</v>
      </c>
      <c r="B7" s="24" t="s">
        <v>41</v>
      </c>
      <c r="C7" s="78" t="s">
        <v>254</v>
      </c>
    </row>
    <row r="8" spans="1:6" x14ac:dyDescent="0.25">
      <c r="A8" t="s">
        <v>38</v>
      </c>
      <c r="B8" s="77" t="s">
        <v>247</v>
      </c>
      <c r="C8" s="45" t="s">
        <v>63</v>
      </c>
    </row>
    <row r="9" spans="1:6" ht="15" customHeight="1" x14ac:dyDescent="0.25">
      <c r="A9" s="47" t="s">
        <v>39</v>
      </c>
      <c r="B9" s="58" t="s">
        <v>69</v>
      </c>
      <c r="C9" s="58">
        <v>25187</v>
      </c>
    </row>
    <row r="12" spans="1:6" x14ac:dyDescent="0.25">
      <c r="A12" t="s">
        <v>10</v>
      </c>
      <c r="B12" s="3" t="s">
        <v>11</v>
      </c>
      <c r="C12" s="3" t="s">
        <v>12</v>
      </c>
      <c r="D12" s="4" t="s">
        <v>23</v>
      </c>
      <c r="E12" s="4" t="s">
        <v>24</v>
      </c>
      <c r="F12" s="4" t="s">
        <v>40</v>
      </c>
    </row>
    <row r="13" spans="1:6" x14ac:dyDescent="0.25">
      <c r="B13" s="58" t="s">
        <v>70</v>
      </c>
      <c r="C13" s="58" t="s">
        <v>74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25">
      <c r="B14" s="58" t="s">
        <v>71</v>
      </c>
      <c r="C14" s="58" t="s">
        <v>75</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25">
      <c r="B15" s="58" t="s">
        <v>72</v>
      </c>
      <c r="C15" s="58" t="s">
        <v>76</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25">
      <c r="B16" s="58" t="s">
        <v>73</v>
      </c>
      <c r="C16" s="58" t="s">
        <v>77</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25">
      <c r="A29" s="47" t="s">
        <v>59</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J20" sqref="J20"/>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75" x14ac:dyDescent="0.25">
      <c r="A4" s="48" t="s">
        <v>70</v>
      </c>
      <c r="B4" s="49">
        <v>1</v>
      </c>
      <c r="C4" s="51" t="str">
        <f>IF(A4&lt;&gt;"",CONCATENATE(A4,"-",B4),"")</f>
        <v>B1-K1-W1-1</v>
      </c>
      <c r="D4" s="52" t="str">
        <f>IF(C4&lt;&gt;"",CONCATENATE(C4,"-","1"),"")</f>
        <v>B1-K1-W1-1-1</v>
      </c>
      <c r="E4" s="35" t="s">
        <v>78</v>
      </c>
      <c r="F4" s="35" t="s">
        <v>81</v>
      </c>
      <c r="G4" s="58" t="s">
        <v>83</v>
      </c>
      <c r="H4" s="58" t="s">
        <v>82</v>
      </c>
      <c r="I4" s="35"/>
      <c r="J4" s="35"/>
      <c r="K4" s="50"/>
    </row>
    <row r="5" spans="1:11" ht="255" x14ac:dyDescent="0.25">
      <c r="A5" s="48" t="s">
        <v>70</v>
      </c>
      <c r="B5" s="49">
        <v>1</v>
      </c>
      <c r="C5" s="51" t="str">
        <f t="shared" ref="C5:C68" si="0">IF(A5&lt;&gt;"",CONCATENATE(A5,"-",B5),"")</f>
        <v>B1-K1-W1-1</v>
      </c>
      <c r="D5" s="52" t="str">
        <f>IF(C5&lt;&gt;"",CONCATENATE(C5,"-",COUNTIF($C$4:C5,C5),""),"")</f>
        <v>B1-K1-W1-1-2</v>
      </c>
      <c r="E5" s="35" t="s">
        <v>78</v>
      </c>
      <c r="F5" s="35" t="s">
        <v>84</v>
      </c>
      <c r="G5" s="35" t="s">
        <v>87</v>
      </c>
      <c r="H5" s="35" t="s">
        <v>238</v>
      </c>
      <c r="I5" s="35" t="s">
        <v>85</v>
      </c>
      <c r="J5" s="58" t="s">
        <v>86</v>
      </c>
      <c r="K5" s="50"/>
    </row>
    <row r="6" spans="1:11" ht="180" x14ac:dyDescent="0.25">
      <c r="A6" s="48" t="s">
        <v>70</v>
      </c>
      <c r="B6" s="49">
        <v>1</v>
      </c>
      <c r="C6" s="51" t="str">
        <f t="shared" si="0"/>
        <v>B1-K1-W1-1</v>
      </c>
      <c r="D6" s="52" t="str">
        <f>IF(C6&lt;&gt;"",CONCATENATE(C6,"-",COUNTIF($C$4:C6,C6),""),"")</f>
        <v>B1-K1-W1-1-3</v>
      </c>
      <c r="E6" s="35" t="s">
        <v>78</v>
      </c>
      <c r="F6" s="35" t="s">
        <v>88</v>
      </c>
      <c r="G6" s="35" t="s">
        <v>89</v>
      </c>
      <c r="H6" s="35" t="s">
        <v>90</v>
      </c>
      <c r="I6" s="35" t="s">
        <v>92</v>
      </c>
      <c r="J6" s="35" t="s">
        <v>91</v>
      </c>
      <c r="K6" s="50"/>
    </row>
    <row r="7" spans="1:11" ht="180" x14ac:dyDescent="0.25">
      <c r="A7" s="48" t="s">
        <v>70</v>
      </c>
      <c r="B7" s="49">
        <v>1</v>
      </c>
      <c r="C7" s="51" t="str">
        <f t="shared" si="0"/>
        <v>B1-K1-W1-1</v>
      </c>
      <c r="D7" s="52" t="str">
        <f>IF(C7&lt;&gt;"",CONCATENATE(C7,"-",COUNTIF($C$4:C7,C7),""),"")</f>
        <v>B1-K1-W1-1-4</v>
      </c>
      <c r="E7" s="35" t="s">
        <v>79</v>
      </c>
      <c r="F7" s="35" t="s">
        <v>93</v>
      </c>
      <c r="G7" s="35" t="s">
        <v>94</v>
      </c>
      <c r="H7" s="35" t="s">
        <v>239</v>
      </c>
      <c r="I7" s="35" t="s">
        <v>96</v>
      </c>
      <c r="J7" s="35" t="s">
        <v>95</v>
      </c>
      <c r="K7" s="50" t="s">
        <v>14</v>
      </c>
    </row>
    <row r="8" spans="1:11" ht="195" x14ac:dyDescent="0.25">
      <c r="A8" s="48" t="s">
        <v>70</v>
      </c>
      <c r="B8" s="49">
        <v>1</v>
      </c>
      <c r="C8" s="51" t="str">
        <f t="shared" si="0"/>
        <v>B1-K1-W1-1</v>
      </c>
      <c r="D8" s="52" t="str">
        <f>IF(C8&lt;&gt;"",CONCATENATE(C8,"-",COUNTIF($C$4:C8,C8),""),"")</f>
        <v>B1-K1-W1-1-5</v>
      </c>
      <c r="E8" s="35" t="s">
        <v>79</v>
      </c>
      <c r="F8" s="35" t="s">
        <v>100</v>
      </c>
      <c r="G8" s="35" t="s">
        <v>101</v>
      </c>
      <c r="H8" s="35" t="s">
        <v>97</v>
      </c>
      <c r="I8" s="35" t="s">
        <v>98</v>
      </c>
      <c r="J8" s="35" t="s">
        <v>99</v>
      </c>
      <c r="K8" s="50"/>
    </row>
    <row r="9" spans="1:11" ht="165" x14ac:dyDescent="0.25">
      <c r="A9" s="48" t="s">
        <v>70</v>
      </c>
      <c r="B9" s="49">
        <v>1</v>
      </c>
      <c r="C9" s="51" t="str">
        <f t="shared" si="0"/>
        <v>B1-K1-W1-1</v>
      </c>
      <c r="D9" s="52" t="str">
        <f>IF(C9&lt;&gt;"",CONCATENATE(C9,"-",COUNTIF($C$4:C9,C9),""),"")</f>
        <v>B1-K1-W1-1-6</v>
      </c>
      <c r="E9" s="35" t="s">
        <v>79</v>
      </c>
      <c r="F9" s="35" t="s">
        <v>102</v>
      </c>
      <c r="G9" s="35" t="s">
        <v>103</v>
      </c>
      <c r="H9" s="35" t="s">
        <v>104</v>
      </c>
      <c r="I9" s="35" t="s">
        <v>105</v>
      </c>
      <c r="J9" s="35" t="s">
        <v>106</v>
      </c>
      <c r="K9" s="50"/>
    </row>
    <row r="10" spans="1:11" ht="120" x14ac:dyDescent="0.25">
      <c r="A10" s="48" t="s">
        <v>70</v>
      </c>
      <c r="B10" s="49">
        <v>1</v>
      </c>
      <c r="C10" s="51" t="str">
        <f t="shared" si="0"/>
        <v>B1-K1-W1-1</v>
      </c>
      <c r="D10" s="52" t="str">
        <f>IF(C10&lt;&gt;"",CONCATENATE(C10,"-",COUNTIF($C$4:C10,C10),""),"")</f>
        <v>B1-K1-W1-1-7</v>
      </c>
      <c r="E10" s="35" t="s">
        <v>80</v>
      </c>
      <c r="F10" s="35" t="s">
        <v>107</v>
      </c>
      <c r="G10" s="35" t="s">
        <v>108</v>
      </c>
      <c r="H10" s="35" t="s">
        <v>109</v>
      </c>
      <c r="I10" s="36"/>
      <c r="J10" s="36"/>
      <c r="K10" s="50"/>
    </row>
    <row r="11" spans="1:11" ht="90" x14ac:dyDescent="0.25">
      <c r="A11" s="48" t="s">
        <v>71</v>
      </c>
      <c r="B11" s="49">
        <v>2</v>
      </c>
      <c r="C11" s="51" t="str">
        <f t="shared" si="0"/>
        <v>B1-K1-W2-2</v>
      </c>
      <c r="D11" s="52" t="str">
        <f>IF(C11&lt;&gt;"",CONCATENATE(C11,"-",COUNTIF($C$4:C11,C11),""),"")</f>
        <v>B1-K1-W2-2-1</v>
      </c>
      <c r="E11" s="35" t="s">
        <v>110</v>
      </c>
      <c r="F11" s="35" t="s">
        <v>112</v>
      </c>
      <c r="G11" s="35" t="s">
        <v>113</v>
      </c>
      <c r="H11" s="35" t="s">
        <v>240</v>
      </c>
      <c r="I11" s="35" t="s">
        <v>241</v>
      </c>
      <c r="J11" s="35" t="s">
        <v>242</v>
      </c>
      <c r="K11" s="50"/>
    </row>
    <row r="12" spans="1:11" ht="240" x14ac:dyDescent="0.25">
      <c r="A12" s="48" t="s">
        <v>71</v>
      </c>
      <c r="B12" s="49">
        <v>2</v>
      </c>
      <c r="C12" s="51" t="str">
        <f t="shared" si="0"/>
        <v>B1-K1-W2-2</v>
      </c>
      <c r="D12" s="52" t="str">
        <f>IF(C12&lt;&gt;"",CONCATENATE(C12,"-",COUNTIF($C$4:C12,C12),""),"")</f>
        <v>B1-K1-W2-2-2</v>
      </c>
      <c r="E12" s="35" t="s">
        <v>110</v>
      </c>
      <c r="F12" s="35" t="s">
        <v>114</v>
      </c>
      <c r="G12" s="35" t="s">
        <v>115</v>
      </c>
      <c r="H12" s="35" t="s">
        <v>116</v>
      </c>
      <c r="I12" s="35" t="s">
        <v>118</v>
      </c>
      <c r="J12" s="35" t="s">
        <v>117</v>
      </c>
      <c r="K12" s="50"/>
    </row>
    <row r="13" spans="1:11" ht="105" x14ac:dyDescent="0.25">
      <c r="A13" s="48" t="s">
        <v>71</v>
      </c>
      <c r="B13" s="49">
        <v>2</v>
      </c>
      <c r="C13" s="51" t="str">
        <f t="shared" si="0"/>
        <v>B1-K1-W2-2</v>
      </c>
      <c r="D13" s="52" t="str">
        <f>IF(C13&lt;&gt;"",CONCATENATE(C13,"-",COUNTIF($C$4:C13,C13),""),"")</f>
        <v>B1-K1-W2-2-3</v>
      </c>
      <c r="E13" s="35" t="s">
        <v>110</v>
      </c>
      <c r="F13" s="35" t="s">
        <v>119</v>
      </c>
      <c r="G13" s="35" t="s">
        <v>243</v>
      </c>
      <c r="H13" s="35" t="s">
        <v>244</v>
      </c>
      <c r="I13" s="35" t="s">
        <v>245</v>
      </c>
      <c r="J13" s="35" t="s">
        <v>246</v>
      </c>
      <c r="K13" s="50"/>
    </row>
    <row r="14" spans="1:11" ht="120" x14ac:dyDescent="0.25">
      <c r="A14" s="48" t="s">
        <v>71</v>
      </c>
      <c r="B14" s="49">
        <v>2</v>
      </c>
      <c r="C14" s="51" t="str">
        <f t="shared" si="0"/>
        <v>B1-K1-W2-2</v>
      </c>
      <c r="D14" s="52" t="str">
        <f>IF(C14&lt;&gt;"",CONCATENATE(C14,"-",COUNTIF($C$4:C14,C14),""),"")</f>
        <v>B1-K1-W2-2-4</v>
      </c>
      <c r="E14" s="35" t="s">
        <v>111</v>
      </c>
      <c r="F14" s="35" t="s">
        <v>120</v>
      </c>
      <c r="G14" s="35" t="s">
        <v>122</v>
      </c>
      <c r="H14" s="35" t="s">
        <v>121</v>
      </c>
      <c r="I14" s="36"/>
      <c r="J14" s="36"/>
      <c r="K14" s="50"/>
    </row>
    <row r="15" spans="1:11" ht="345" x14ac:dyDescent="0.25">
      <c r="A15" s="48" t="s">
        <v>72</v>
      </c>
      <c r="B15" s="49">
        <v>3</v>
      </c>
      <c r="C15" s="51" t="str">
        <f t="shared" si="0"/>
        <v>B1-K1-W3-3</v>
      </c>
      <c r="D15" s="52" t="str">
        <f>IF(C15&lt;&gt;"",CONCATENATE(C15,"-",COUNTIF($C$4:C15,C15),""),"")</f>
        <v>B1-K1-W3-3-1</v>
      </c>
      <c r="E15" s="35" t="s">
        <v>78</v>
      </c>
      <c r="F15" s="35" t="s">
        <v>127</v>
      </c>
      <c r="G15" s="35" t="s">
        <v>131</v>
      </c>
      <c r="H15" s="35" t="s">
        <v>128</v>
      </c>
      <c r="I15" s="35" t="s">
        <v>129</v>
      </c>
      <c r="J15" s="35" t="s">
        <v>130</v>
      </c>
      <c r="K15" s="50" t="s">
        <v>14</v>
      </c>
    </row>
    <row r="16" spans="1:11" ht="165" x14ac:dyDescent="0.25">
      <c r="A16" s="48" t="s">
        <v>72</v>
      </c>
      <c r="B16" s="49">
        <v>3</v>
      </c>
      <c r="C16" s="51" t="str">
        <f t="shared" si="0"/>
        <v>B1-K1-W3-3</v>
      </c>
      <c r="D16" s="52" t="str">
        <f>IF(C16&lt;&gt;"",CONCATENATE(C16,"-",COUNTIF($C$4:C16,C16),""),"")</f>
        <v>B1-K1-W3-3-2</v>
      </c>
      <c r="E16" s="35" t="s">
        <v>123</v>
      </c>
      <c r="F16" s="35" t="s">
        <v>132</v>
      </c>
      <c r="G16" s="35" t="s">
        <v>133</v>
      </c>
      <c r="H16" s="35" t="s">
        <v>136</v>
      </c>
      <c r="I16" s="35" t="s">
        <v>134</v>
      </c>
      <c r="J16" s="35" t="s">
        <v>135</v>
      </c>
      <c r="K16" s="50"/>
    </row>
    <row r="17" spans="1:11" ht="360" x14ac:dyDescent="0.25">
      <c r="A17" s="48" t="s">
        <v>72</v>
      </c>
      <c r="B17" s="49">
        <v>3</v>
      </c>
      <c r="C17" s="51" t="str">
        <f t="shared" si="0"/>
        <v>B1-K1-W3-3</v>
      </c>
      <c r="D17" s="52" t="str">
        <f>IF(C17&lt;&gt;"",CONCATENATE(C17,"-",COUNTIF($C$4:C17,C17),""),"")</f>
        <v>B1-K1-W3-3-3</v>
      </c>
      <c r="E17" s="35" t="s">
        <v>124</v>
      </c>
      <c r="F17" s="35" t="s">
        <v>137</v>
      </c>
      <c r="G17" s="35" t="s">
        <v>138</v>
      </c>
      <c r="H17" s="35" t="s">
        <v>141</v>
      </c>
      <c r="I17" s="35" t="s">
        <v>139</v>
      </c>
      <c r="J17" s="35" t="s">
        <v>140</v>
      </c>
      <c r="K17" s="50"/>
    </row>
    <row r="18" spans="1:11" ht="240" x14ac:dyDescent="0.25">
      <c r="A18" s="48" t="s">
        <v>72</v>
      </c>
      <c r="B18" s="49">
        <v>3</v>
      </c>
      <c r="C18" s="51" t="str">
        <f t="shared" si="0"/>
        <v>B1-K1-W3-3</v>
      </c>
      <c r="D18" s="52" t="str">
        <f>IF(C18&lt;&gt;"",CONCATENATE(C18,"-",COUNTIF($C$4:C18,C18),""),"")</f>
        <v>B1-K1-W3-3-4</v>
      </c>
      <c r="E18" s="35" t="s">
        <v>111</v>
      </c>
      <c r="F18" s="35" t="s">
        <v>142</v>
      </c>
      <c r="G18" s="35" t="s">
        <v>146</v>
      </c>
      <c r="H18" s="35" t="s">
        <v>143</v>
      </c>
      <c r="I18" s="35" t="s">
        <v>144</v>
      </c>
      <c r="J18" s="35" t="s">
        <v>145</v>
      </c>
      <c r="K18" s="50" t="s">
        <v>14</v>
      </c>
    </row>
    <row r="19" spans="1:11" ht="330" x14ac:dyDescent="0.25">
      <c r="A19" s="48" t="s">
        <v>72</v>
      </c>
      <c r="B19" s="49">
        <v>4</v>
      </c>
      <c r="C19" s="51" t="str">
        <f t="shared" si="0"/>
        <v>B1-K1-W3-4</v>
      </c>
      <c r="D19" s="52" t="str">
        <f>IF(C19&lt;&gt;"",CONCATENATE(C19,"-",COUNTIF($C$4:C19,C19),""),"")</f>
        <v>B1-K1-W3-4-1</v>
      </c>
      <c r="E19" s="35" t="s">
        <v>125</v>
      </c>
      <c r="F19" s="35" t="s">
        <v>147</v>
      </c>
      <c r="G19" s="35" t="s">
        <v>148</v>
      </c>
      <c r="H19" s="35" t="s">
        <v>149</v>
      </c>
      <c r="I19" s="35" t="s">
        <v>150</v>
      </c>
      <c r="J19" s="35" t="s">
        <v>151</v>
      </c>
      <c r="K19" s="50"/>
    </row>
    <row r="20" spans="1:11" ht="330" x14ac:dyDescent="0.25">
      <c r="A20" s="48" t="s">
        <v>72</v>
      </c>
      <c r="B20" s="49">
        <v>4</v>
      </c>
      <c r="C20" s="51" t="str">
        <f t="shared" si="0"/>
        <v>B1-K1-W3-4</v>
      </c>
      <c r="D20" s="52" t="str">
        <f>IF(C20&lt;&gt;"",CONCATENATE(C20,"-",COUNTIF($C$4:C20,C20),""),"")</f>
        <v>B1-K1-W3-4-2</v>
      </c>
      <c r="E20" s="35" t="s">
        <v>80</v>
      </c>
      <c r="F20" s="35" t="s">
        <v>152</v>
      </c>
      <c r="G20" s="35" t="s">
        <v>248</v>
      </c>
      <c r="H20" s="35" t="s">
        <v>249</v>
      </c>
      <c r="I20" s="35" t="s">
        <v>250</v>
      </c>
      <c r="J20" s="35" t="s">
        <v>251</v>
      </c>
      <c r="K20" s="50" t="s">
        <v>14</v>
      </c>
    </row>
    <row r="21" spans="1:11" ht="120" x14ac:dyDescent="0.25">
      <c r="A21" s="48" t="s">
        <v>72</v>
      </c>
      <c r="B21" s="49">
        <v>4</v>
      </c>
      <c r="C21" s="51" t="str">
        <f t="shared" si="0"/>
        <v>B1-K1-W3-4</v>
      </c>
      <c r="D21" s="52" t="str">
        <f>IF(C21&lt;&gt;"",CONCATENATE(C21,"-",COUNTIF($C$4:C21,C21),""),"")</f>
        <v>B1-K1-W3-4-3</v>
      </c>
      <c r="E21" s="35" t="s">
        <v>126</v>
      </c>
      <c r="F21" s="35" t="s">
        <v>155</v>
      </c>
      <c r="G21" s="35" t="s">
        <v>153</v>
      </c>
      <c r="H21" s="35" t="s">
        <v>154</v>
      </c>
      <c r="I21" s="35"/>
      <c r="J21" s="35"/>
      <c r="K21" s="50"/>
    </row>
    <row r="22" spans="1:11" ht="210" x14ac:dyDescent="0.25">
      <c r="A22" s="48" t="s">
        <v>73</v>
      </c>
      <c r="B22" s="49">
        <v>5</v>
      </c>
      <c r="C22" s="51" t="str">
        <f t="shared" si="0"/>
        <v>B1-K1-W4-5</v>
      </c>
      <c r="D22" s="52" t="str">
        <f>IF(C22&lt;&gt;"",CONCATENATE(C22,"-",COUNTIF($C$4:C22,C22),""),"")</f>
        <v>B1-K1-W4-5-1</v>
      </c>
      <c r="E22" s="35" t="s">
        <v>156</v>
      </c>
      <c r="F22" s="35" t="s">
        <v>158</v>
      </c>
      <c r="G22" s="35" t="s">
        <v>159</v>
      </c>
      <c r="H22" s="35" t="s">
        <v>162</v>
      </c>
      <c r="I22" s="35" t="s">
        <v>160</v>
      </c>
      <c r="J22" s="35" t="s">
        <v>161</v>
      </c>
      <c r="K22" s="28"/>
    </row>
    <row r="23" spans="1:11" ht="90" x14ac:dyDescent="0.25">
      <c r="A23" s="48" t="s">
        <v>73</v>
      </c>
      <c r="B23" s="49">
        <v>5</v>
      </c>
      <c r="C23" s="51" t="str">
        <f t="shared" si="0"/>
        <v>B1-K1-W4-5</v>
      </c>
      <c r="D23" s="52" t="str">
        <f>IF(C23&lt;&gt;"",CONCATENATE(C23,"-",COUNTIF($C$4:C23,C23),""),"")</f>
        <v>B1-K1-W4-5-2</v>
      </c>
      <c r="E23" s="35" t="s">
        <v>157</v>
      </c>
      <c r="F23" s="35" t="s">
        <v>163</v>
      </c>
      <c r="G23" s="35" t="s">
        <v>165</v>
      </c>
      <c r="H23" s="35" t="s">
        <v>164</v>
      </c>
      <c r="I23" s="36"/>
      <c r="J23" s="36"/>
      <c r="K23" s="28"/>
    </row>
    <row r="24" spans="1:11" ht="60" x14ac:dyDescent="0.25">
      <c r="A24" s="48" t="s">
        <v>73</v>
      </c>
      <c r="B24" s="49">
        <v>5</v>
      </c>
      <c r="C24" s="51" t="str">
        <f t="shared" si="0"/>
        <v>B1-K1-W4-5</v>
      </c>
      <c r="D24" s="52" t="str">
        <f>IF(C24&lt;&gt;"",CONCATENATE(C24,"-",COUNTIF($C$4:C24,C24),""),"")</f>
        <v>B1-K1-W4-5-3</v>
      </c>
      <c r="E24" s="35" t="s">
        <v>123</v>
      </c>
      <c r="F24" s="35" t="s">
        <v>166</v>
      </c>
      <c r="G24" s="35" t="s">
        <v>168</v>
      </c>
      <c r="H24" s="35" t="s">
        <v>167</v>
      </c>
      <c r="I24" s="36"/>
      <c r="J24" s="36"/>
      <c r="K24" s="50" t="s">
        <v>14</v>
      </c>
    </row>
    <row r="25" spans="1:11" ht="75" x14ac:dyDescent="0.25">
      <c r="A25" s="48" t="s">
        <v>73</v>
      </c>
      <c r="B25" s="49">
        <v>5</v>
      </c>
      <c r="C25" s="51" t="str">
        <f t="shared" si="0"/>
        <v>B1-K1-W4-5</v>
      </c>
      <c r="D25" s="52" t="str">
        <f>IF(C25&lt;&gt;"",CONCATENATE(C25,"-",COUNTIF($C$4:C25,C25),""),"")</f>
        <v>B1-K1-W4-5-4</v>
      </c>
      <c r="E25" s="35" t="s">
        <v>124</v>
      </c>
      <c r="F25" s="35" t="s">
        <v>169</v>
      </c>
      <c r="G25" s="35" t="s">
        <v>171</v>
      </c>
      <c r="H25" s="35" t="s">
        <v>170</v>
      </c>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BF_AMO_AO16-B1-K1_2</v>
      </c>
      <c r="C5" s="44">
        <f>KerntakenEnWerkprocessen!B3</f>
        <v>42519</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bijdrage aan het ontwikkeltraject</v>
      </c>
      <c r="C12" s="83"/>
    </row>
    <row r="13" spans="1:6" s="16" customFormat="1" ht="2.1" customHeight="1" x14ac:dyDescent="0.25">
      <c r="A13" s="30"/>
      <c r="B13" s="32"/>
      <c r="C13" s="33"/>
    </row>
    <row r="14" spans="1:6" ht="222.75" customHeight="1" x14ac:dyDescent="0.25">
      <c r="A14" s="31" t="s">
        <v>10</v>
      </c>
      <c r="B14" s="82" t="str">
        <f>KerntakenEnWerkprocessen!F2</f>
        <v xml:space="preserve">B1-K1-W1 Stelt de opdracht vast
B1-K1-W2 Levert een bijdrage aan het projectplan
B1-K1-W3 Levert een bijdrage aan het ontwerp
B1-K1-W4 Bereidt de realisatie voor 
</v>
      </c>
      <c r="C14" s="82"/>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67"/>
  <sheetViews>
    <sheetView showGridLines="0" topLeftCell="B27" workbookViewId="0">
      <selection activeCell="E27" sqref="E27"/>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70</v>
      </c>
      <c r="C1" s="56" t="str">
        <f>VLOOKUP(B1,werkprocessen,2,FALSE)</f>
        <v>Stelt de opdracht vast</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32</v>
      </c>
      <c r="B4" s="6">
        <f>SUM(N:N)</f>
        <v>17</v>
      </c>
      <c r="C4" s="55" t="s">
        <v>64</v>
      </c>
      <c r="D4" s="54"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5</v>
      </c>
    </row>
    <row r="8" spans="1:7" hidden="1" x14ac:dyDescent="0.25">
      <c r="A8" t="s">
        <v>34</v>
      </c>
      <c r="B8" s="6">
        <f>0.5*B4</f>
        <v>8.5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B1-K1-W1: Stelt de opdracht vast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172</v>
      </c>
      <c r="C21" s="96"/>
      <c r="D21" s="96"/>
      <c r="E21" s="96"/>
      <c r="F21" s="96"/>
      <c r="G21" s="96"/>
    </row>
    <row r="22" spans="1:15" hidden="1" x14ac:dyDescent="0.25">
      <c r="A22" t="s">
        <v>173</v>
      </c>
      <c r="B22" s="59">
        <v>1</v>
      </c>
      <c r="D22" s="8" t="s">
        <v>174</v>
      </c>
      <c r="E22" s="60" t="s">
        <v>175</v>
      </c>
      <c r="G22" s="8" t="s">
        <v>176</v>
      </c>
      <c r="H22" s="59">
        <f>COUNTIF(Beheersingsniveaus!$C$4:$C$154,$E22)</f>
        <v>7</v>
      </c>
    </row>
    <row r="23" spans="1:15" x14ac:dyDescent="0.25">
      <c r="A23" t="s">
        <v>29</v>
      </c>
      <c r="B23" s="62" t="s">
        <v>177</v>
      </c>
      <c r="C23" s="62" t="s">
        <v>3</v>
      </c>
      <c r="D23" s="62">
        <v>0</v>
      </c>
      <c r="E23" s="62">
        <v>1</v>
      </c>
      <c r="F23" s="62">
        <v>2</v>
      </c>
      <c r="G23" s="62">
        <v>3</v>
      </c>
      <c r="H23" t="s">
        <v>8</v>
      </c>
      <c r="I23" t="s">
        <v>178</v>
      </c>
      <c r="J23" t="s">
        <v>179</v>
      </c>
      <c r="K23" t="s">
        <v>180</v>
      </c>
      <c r="L23" t="s">
        <v>181</v>
      </c>
      <c r="M23" t="s">
        <v>31</v>
      </c>
      <c r="N23" t="s">
        <v>32</v>
      </c>
      <c r="O23" t="s">
        <v>182</v>
      </c>
    </row>
    <row r="24" spans="1:15" ht="84.95" customHeight="1" x14ac:dyDescent="0.25">
      <c r="A24" s="63" t="s">
        <v>183</v>
      </c>
      <c r="B24" s="64" t="str">
        <f>VLOOKUP($A24,Beheersingsniveaus!$D$4:$K$154,2,FALSE)</f>
        <v>T1, T2</v>
      </c>
      <c r="C24" s="64" t="str">
        <f>CONCATENATE(VLOOKUP($A24,Beheersingsniveaus!$D$4:$K$154,3,FALSE),IF($H24=ja,"*",""))</f>
        <v>Voorbereiding</v>
      </c>
      <c r="D24" s="65" t="str">
        <f>VLOOKUP($A24,Beheersingsniveaus!$D$4:$K$154,4,FALSE)</f>
        <v xml:space="preserve">Heeft zich niet ingelezen en/of voorbereid op het gesprek.
</v>
      </c>
      <c r="E24" s="65" t="str">
        <f>VLOOKUP($A24,Beheersingsniveaus!$D$4:$K$154,5,FALSE)</f>
        <v>Heeft zich ingelezen en heeft zich voorbereid op gesprek.</v>
      </c>
      <c r="F24" s="66"/>
      <c r="G24" s="66"/>
      <c r="H24" s="59">
        <f>VLOOKUP($A24,Beheersingsniveaus!$D$4:$K$154,8,FALSE)</f>
        <v>0</v>
      </c>
      <c r="I24" s="59"/>
      <c r="J24" s="59"/>
      <c r="K24" s="59"/>
      <c r="L24" s="59"/>
      <c r="M24" s="59">
        <f t="shared" ref="M24:M30" si="0">IF(L24=TRUE,3,IF(K24=TRUE,2,IF(J24=TRUE,1,IF(I24=TRUE,0,0))))</f>
        <v>0</v>
      </c>
      <c r="N24" s="59">
        <f t="shared" ref="N24:N30" si="1">(4-COUNTBLANK(D24:G24))-1</f>
        <v>1</v>
      </c>
      <c r="O24" s="59">
        <f t="shared" ref="O24:O30" si="2">COUNTA(I24:L24)</f>
        <v>0</v>
      </c>
    </row>
    <row r="25" spans="1:15" ht="279.95" customHeight="1" x14ac:dyDescent="0.25">
      <c r="A25" s="63" t="s">
        <v>184</v>
      </c>
      <c r="B25" s="64" t="str">
        <f>VLOOKUP($A25,Beheersingsniveaus!$D$4:$K$154,2,FALSE)</f>
        <v>T1, T2</v>
      </c>
      <c r="C25" s="64" t="str">
        <f>CONCATENATE(VLOOKUP($A25,Beheersingsniveaus!$D$4:$K$154,3,FALSE),IF($H25=ja,"*",""))</f>
        <v>Gespreksvorm</v>
      </c>
      <c r="D25" s="65" t="str">
        <f>VLOOKUP($A25,Beheersingsniveaus!$D$4:$K$154,4,FALSE)</f>
        <v xml:space="preserve">Leidt het gesprek niet in.
Stelt wel vragen, maar vraagt niet door.
Gaat weinig in op wat de opdrachtgever zegt.
Vat aan het eind niet samen, en vertelt de vervolgprocedure niet.
</v>
      </c>
      <c r="E25" s="65"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65" t="str">
        <f>VLOOKUP($A25,Beheersingsniveaus!$D$4:$K$154,6,FALSE)</f>
        <v>Leidt het gesprek in.
Stelt vragen en vraagt indien nodig door.
Gaat in op wat de opdrachtgever zegt en de reactie is bijna altijd adequaat.
Vat aan het eind samen, en vertelt de vervolgprocedure niet.</v>
      </c>
      <c r="G25" s="65" t="str">
        <f>VLOOKUP($A25,Beheersingsniveaus!$D$4:$K$154,7,FALSE)</f>
        <v>Leidt het gesprek in.
Stelt vragen en vraagt indien nodig door.
Gaat in op wat de opdrachtgever zegt en de reactie is altijd adequaat.
Vat aan het eind het gesprek samen, en vertelt de vervolgprocedure.</v>
      </c>
      <c r="H25" s="59">
        <f>VLOOKUP($A25,Beheersingsniveaus!$D$4:$K$154,8,FALSE)</f>
        <v>0</v>
      </c>
      <c r="I25" s="59"/>
      <c r="J25" s="59"/>
      <c r="K25" s="59"/>
      <c r="L25" s="59"/>
      <c r="M25" s="59">
        <f t="shared" si="0"/>
        <v>0</v>
      </c>
      <c r="N25" s="59">
        <f t="shared" si="1"/>
        <v>3</v>
      </c>
      <c r="O25" s="59">
        <f t="shared" si="2"/>
        <v>0</v>
      </c>
    </row>
    <row r="26" spans="1:15" ht="189.95" customHeight="1" x14ac:dyDescent="0.25">
      <c r="A26" s="63" t="s">
        <v>185</v>
      </c>
      <c r="B26" s="64" t="str">
        <f>VLOOKUP($A26,Beheersingsniveaus!$D$4:$K$154,2,FALSE)</f>
        <v>T1, T2</v>
      </c>
      <c r="C26" s="64" t="str">
        <f>CONCATENATE(VLOOKUP($A26,Beheersingsniveaus!$D$4:$K$154,3,FALSE),IF($H26=ja,"*",""))</f>
        <v>Gespreksinhoud</v>
      </c>
      <c r="D26" s="65" t="str">
        <f>VLOOKUP($A26,Beheersingsniveaus!$D$4:$K$154,4,FALSE)</f>
        <v>De vragen zijn in de meeste gevallen niet gerelateerd aan en/of niet relevant voor de opdracht.
Gebruikt veel vaktaal zonder dit uit te leggen.</v>
      </c>
      <c r="E26" s="65" t="str">
        <f>VLOOKUP($A26,Beheersingsniveaus!$D$4:$K$154,5,FALSE)</f>
        <v>De vragen zijn in de meeste gevallen gerelateerd aan of relevant voor de opdracht.
Gebruikt soms vaktaal en/of legt deze in de meeste gevallen niet begrijpelijk uit.</v>
      </c>
      <c r="F26" s="65" t="str">
        <f>VLOOKUP($A26,Beheersingsniveaus!$D$4:$K$154,6,FALSE)</f>
        <v xml:space="preserve">De vragen zijn in de meeste gevallen gerelateerd aan en relevant voor de opdracht.
Gebruikt weinig tot geen vaktaal en/of legt deze in de meeste gevallen begrijpelijk uit.
</v>
      </c>
      <c r="G26" s="65" t="str">
        <f>VLOOKUP($A26,Beheersingsniveaus!$D$4:$K$154,7,FALSE)</f>
        <v>De vragen zijn altijd gerelateerd aan en relevant voor de opdracht.
Gebruikt weinig tot geen vaktaal en legt deze begrijpelijk uit.</v>
      </c>
      <c r="H26" s="59">
        <f>VLOOKUP($A26,Beheersingsniveaus!$D$4:$K$154,8,FALSE)</f>
        <v>0</v>
      </c>
      <c r="I26" s="59"/>
      <c r="J26" s="59"/>
      <c r="K26" s="59"/>
      <c r="L26" s="59"/>
      <c r="M26" s="59">
        <f t="shared" si="0"/>
        <v>0</v>
      </c>
      <c r="N26" s="59">
        <f t="shared" si="1"/>
        <v>3</v>
      </c>
      <c r="O26" s="59">
        <f t="shared" si="2"/>
        <v>0</v>
      </c>
    </row>
    <row r="27" spans="1:15" ht="204.95" customHeight="1" x14ac:dyDescent="0.25">
      <c r="A27" s="63" t="s">
        <v>186</v>
      </c>
      <c r="B27" s="64" t="str">
        <f>VLOOKUP($A27,Beheersingsniveaus!$D$4:$K$154,2,FALSE)</f>
        <v>T3, T4, T5, T6</v>
      </c>
      <c r="C27" s="64" t="str">
        <f>CONCATENATE(VLOOKUP($A27,Beheersingsniveaus!$D$4:$K$154,3,FALSE),IF($H27=ja,"*",""))</f>
        <v>Inhoud Programma van Eisen*</v>
      </c>
      <c r="D27" s="65" t="str">
        <f>VLOOKUP($A27,Beheersingsniveaus!$D$4:$K$154,4,FALSE)</f>
        <v>De eisen in het PvE sluiten deels niet aan op de opdracht en/of een groot aantal eisen zijn niet beschreven.
Gebruikt veel vaktaal zonder dit uit te leggen.</v>
      </c>
      <c r="E27" s="65" t="str">
        <f>VLOOKUP($A27,Beheersingsniveaus!$D$4:$K$154,5,FALSE)</f>
        <v xml:space="preserve">De eisen in het PvE sluiten in de meeste gevallen aan op de opdracht, maar een klein aantal eisen zijn niet beschreven.
Gebruikt soms vaktaal en/of legt deze in de meeste gevallen niet begrijpelijk uit.
</v>
      </c>
      <c r="F27" s="65" t="str">
        <f>VLOOKUP($A27,Beheersingsniveaus!$D$4:$K$154,6,FALSE)</f>
        <v xml:space="preserve">De eisen in het PvE sluiten aan op de opdracht en een klein aantal eisen zijn niet beschreven.
Gebruikt weinig tot geen vaktaal en/of legt deze in de meeste gevallen begrijpelijk uit.
</v>
      </c>
      <c r="G27" s="65" t="str">
        <f>VLOOKUP($A27,Beheersingsniveaus!$D$4:$K$154,7,FALSE)</f>
        <v>Alle eisen in het PvE sluiten aan op de opdracht en zijn beschreven.
Gebruikt weinig tot geen vaktaal en legt deze begrijpelijk uit.</v>
      </c>
      <c r="H27" s="59" t="str">
        <f>VLOOKUP($A27,Beheersingsniveaus!$D$4:$K$154,8,FALSE)</f>
        <v>Ja</v>
      </c>
      <c r="I27" s="59"/>
      <c r="J27" s="59"/>
      <c r="K27" s="59"/>
      <c r="L27" s="59"/>
      <c r="M27" s="59">
        <f t="shared" si="0"/>
        <v>0</v>
      </c>
      <c r="N27" s="59">
        <f t="shared" si="1"/>
        <v>3</v>
      </c>
      <c r="O27" s="59">
        <f t="shared" si="2"/>
        <v>0</v>
      </c>
    </row>
    <row r="28" spans="1:15" ht="189.95" customHeight="1" x14ac:dyDescent="0.25">
      <c r="A28" s="63" t="s">
        <v>187</v>
      </c>
      <c r="B28" s="64" t="str">
        <f>VLOOKUP($A28,Beheersingsniveaus!$D$4:$K$154,2,FALSE)</f>
        <v>T3, T4, T5, T6</v>
      </c>
      <c r="C28" s="64" t="str">
        <f>CONCATENATE(VLOOKUP($A28,Beheersingsniveaus!$D$4:$K$154,3,FALSE),IF($H28=ja,"*",""))</f>
        <v>Vorm Programma van Eisen</v>
      </c>
      <c r="D28" s="65" t="str">
        <f>VLOOKUP($A28,Beheersingsniveaus!$D$4:$K$154,4,FALSE)</f>
        <v xml:space="preserve">Het PvE voldoet op de meeste punten niet aan de gevraagde onderdelen.
De onderdelen in het PvE zijn in een groot aantal gevallen niet begrijpelijk beschreven.
</v>
      </c>
      <c r="E28" s="65" t="str">
        <f>VLOOKUP($A28,Beheersingsniveaus!$D$4:$K$154,5,FALSE)</f>
        <v>Het PvE voldoet in de meeste gevallen aan de gevraagde onderdelen.
De onderdelen in het PvE zijn in de meeste gevallen begrijpelijk beschreven.</v>
      </c>
      <c r="F28" s="65" t="str">
        <f>VLOOKUP($A28,Beheersingsniveaus!$D$4:$K$154,6,FALSE)</f>
        <v>Het PvE voldoet aan de gevraagde onderdelen.
De onderdelen in het PvE zijn in de meeste gevallen begrijpelijk beschreven.</v>
      </c>
      <c r="G28" s="65" t="str">
        <f>VLOOKUP($A28,Beheersingsniveaus!$D$4:$K$154,7,FALSE)</f>
        <v>Het PvE voldoet aan de gevraagde onderdelen.
De onderdelen in het PvE zijn allemaal begrijpelijk beschreven.</v>
      </c>
      <c r="H28" s="59">
        <f>VLOOKUP($A28,Beheersingsniveaus!$D$4:$K$154,8,FALSE)</f>
        <v>0</v>
      </c>
      <c r="I28" s="59"/>
      <c r="J28" s="59"/>
      <c r="K28" s="59"/>
      <c r="L28" s="59"/>
      <c r="M28" s="59">
        <f t="shared" si="0"/>
        <v>0</v>
      </c>
      <c r="N28" s="59">
        <f t="shared" si="1"/>
        <v>3</v>
      </c>
      <c r="O28" s="59">
        <f t="shared" si="2"/>
        <v>0</v>
      </c>
    </row>
    <row r="29" spans="1:15" ht="189.95" customHeight="1" x14ac:dyDescent="0.25">
      <c r="A29" s="63" t="s">
        <v>188</v>
      </c>
      <c r="B29" s="64" t="str">
        <f>VLOOKUP($A29,Beheersingsniveaus!$D$4:$K$154,2,FALSE)</f>
        <v>T3, T4, T5, T6</v>
      </c>
      <c r="C29" s="64" t="str">
        <f>CONCATENATE(VLOOKUP($A29,Beheersingsniveaus!$D$4:$K$154,3,FALSE),IF($H29=ja,"*",""))</f>
        <v>Onderbouwing Programma van Eisen</v>
      </c>
      <c r="D29" s="65" t="str">
        <f>VLOOKUP($A29,Beheersingsniveaus!$D$4:$K$154,4,FALSE)</f>
        <v>Er is niet adequaat gebruikgemaakt van aanvullende bronnen en/of onderzoek.
(On)mogelijkheden en/of impact van het gevraagde zijn in het PvE niet beschreven.</v>
      </c>
      <c r="E29" s="65" t="str">
        <f>VLOOKUP($A29,Beheersingsniveaus!$D$4:$K$154,5,FALSE)</f>
        <v>Er is weinig adequaat gebruikgemaakt van aanvullende bronnen en/of onderzoek.
(On)mogelijkheden en/of impact van het gevraagde zijn niet volledig in het PvE beschreven.</v>
      </c>
      <c r="F29" s="65" t="str">
        <f>VLOOKUP($A29,Beheersingsniveaus!$D$4:$K$154,6,FALSE)</f>
        <v>Er is adequaat gebruikgemaakt van aanvullende bronnen en/of onderzoek.
(On)mogelijkheden en impact van het gevraagde zijn in het PvE in kaart gebracht en grotendeels volledig beschreven.</v>
      </c>
      <c r="G29" s="65" t="str">
        <f>VLOOKUP($A29,Beheersingsniveaus!$D$4:$K$154,7,FALSE)</f>
        <v>Er is adequaat gebruikgemaakt van aanvullende bronnen en/of onderzoek.
(On)mogelijkheden en impact van het gevraagde zijn in het PvE volledig beschreven.</v>
      </c>
      <c r="H29" s="59">
        <f>VLOOKUP($A29,Beheersingsniveaus!$D$4:$K$154,8,FALSE)</f>
        <v>0</v>
      </c>
      <c r="I29" s="59"/>
      <c r="J29" s="59"/>
      <c r="K29" s="59"/>
      <c r="L29" s="59"/>
      <c r="M29" s="59">
        <f t="shared" si="0"/>
        <v>0</v>
      </c>
      <c r="N29" s="59">
        <f t="shared" si="1"/>
        <v>3</v>
      </c>
      <c r="O29" s="59">
        <f t="shared" si="2"/>
        <v>0</v>
      </c>
    </row>
    <row r="30" spans="1:15" ht="129.94999999999999" customHeight="1" x14ac:dyDescent="0.25">
      <c r="A30" s="63" t="s">
        <v>189</v>
      </c>
      <c r="B30" s="64" t="str">
        <f>VLOOKUP($A30,Beheersingsniveaus!$D$4:$K$154,2,FALSE)</f>
        <v>T7</v>
      </c>
      <c r="C30" s="64" t="str">
        <f>CONCATENATE(VLOOKUP($A30,Beheersingsniveaus!$D$4:$K$154,3,FALSE),IF($H30=ja,"*",""))</f>
        <v>Communiceren Programma van Eisen</v>
      </c>
      <c r="D30" s="65" t="str">
        <f>VLOOKUP($A30,Beheersingsniveaus!$D$4:$K$154,4,FALSE)</f>
        <v xml:space="preserve">Het PvE wordt niet overgedragen of niet toegelicht.
Er wordt niet om goedkeuring gevraagd.
</v>
      </c>
      <c r="E30" s="65" t="str">
        <f>VLOOKUP($A30,Beheersingsniveaus!$D$4:$K$154,5,FALSE)</f>
        <v>Het PvE wordt overgedragen en toegelicht.
Er wordt om goedkeuring gevraagd.</v>
      </c>
      <c r="F30" s="66"/>
      <c r="G30" s="66"/>
      <c r="H30" s="59">
        <f>VLOOKUP($A30,Beheersingsniveaus!$D$4:$K$154,8,FALSE)</f>
        <v>0</v>
      </c>
      <c r="I30" s="59"/>
      <c r="J30" s="59"/>
      <c r="K30" s="59"/>
      <c r="L30" s="59"/>
      <c r="M30" s="59">
        <f t="shared" si="0"/>
        <v>0</v>
      </c>
      <c r="N30" s="59">
        <f t="shared" si="1"/>
        <v>1</v>
      </c>
      <c r="O30" s="59">
        <f t="shared" si="2"/>
        <v>0</v>
      </c>
    </row>
    <row r="31" spans="1:15" x14ac:dyDescent="0.25">
      <c r="B31" t="s">
        <v>190</v>
      </c>
    </row>
    <row r="32" spans="1:15" ht="28.5" customHeight="1" x14ac:dyDescent="0.4">
      <c r="B32" s="97" t="s">
        <v>191</v>
      </c>
      <c r="C32" s="98"/>
      <c r="D32" s="98"/>
      <c r="E32" s="98"/>
      <c r="F32" s="98"/>
      <c r="G32" s="98"/>
    </row>
    <row r="33" spans="1:10" ht="26.1" customHeight="1" x14ac:dyDescent="0.25">
      <c r="B33" s="67" t="s">
        <v>192</v>
      </c>
    </row>
    <row r="34" spans="1:10" hidden="1" x14ac:dyDescent="0.25">
      <c r="B34" t="s">
        <v>193</v>
      </c>
      <c r="C34" s="59">
        <f>COUNTIF($H:$H,ja)</f>
        <v>1</v>
      </c>
      <c r="D34" s="8" t="s">
        <v>194</v>
      </c>
      <c r="E34" s="60" t="b">
        <f>IF(COUNTIF(J34:J36,FALSE)=0,TRUE,FALSE)</f>
        <v>0</v>
      </c>
    </row>
    <row r="35" spans="1:10" x14ac:dyDescent="0.25">
      <c r="A35" t="s">
        <v>29</v>
      </c>
      <c r="B35" s="68" t="s">
        <v>195</v>
      </c>
      <c r="C35" s="68"/>
      <c r="D35" s="70" t="s">
        <v>196</v>
      </c>
      <c r="E35" s="71"/>
      <c r="H35" t="s">
        <v>197</v>
      </c>
      <c r="I35" t="s">
        <v>198</v>
      </c>
      <c r="J35" t="s">
        <v>199</v>
      </c>
    </row>
    <row r="36" spans="1:10" x14ac:dyDescent="0.25">
      <c r="A36" s="59" t="s">
        <v>186</v>
      </c>
      <c r="B36" t="str">
        <f>VLOOKUP($A36,Beheersingsniveaus!$D$3:$F$154,3,FALSE)</f>
        <v>Inhoud Programma van Eisen</v>
      </c>
      <c r="D36" s="69" t="str">
        <f>CONCATENATE(IF(VLOOKUP(A36,A21:N31,13,FALSE)&gt;0,"Behaald","Niet behaald"))</f>
        <v>Niet behaald</v>
      </c>
      <c r="J36" s="59" t="b">
        <f>IF(VLOOKUP($A36,$A$21:$N$31,13,FALSE)&gt;0,TRUE,FALSE)</f>
        <v>0</v>
      </c>
    </row>
    <row r="38" spans="1:10" ht="26.1" customHeight="1" x14ac:dyDescent="0.25">
      <c r="B38" s="67" t="s">
        <v>200</v>
      </c>
    </row>
    <row r="39" spans="1:10" x14ac:dyDescent="0.25">
      <c r="B39" s="68" t="s">
        <v>201</v>
      </c>
      <c r="C39" s="68" t="s">
        <v>202</v>
      </c>
      <c r="D39" s="71" t="s">
        <v>203</v>
      </c>
    </row>
    <row r="40" spans="1:10" x14ac:dyDescent="0.25">
      <c r="B40" s="69">
        <v>0</v>
      </c>
      <c r="C40" s="72">
        <f t="shared" ref="C40:C57" si="3">ROUNDUP(IF(B40&lt;$B$8,4.5/$B$8*B40+1,4.5/($B$4-$B$8)*(B40-$B$8)+5.5),1)</f>
        <v>1</v>
      </c>
      <c r="D40" s="61" t="str">
        <f t="shared" ref="D40:D57" si="4">IF($B40=$B$5,"X","")</f>
        <v>X</v>
      </c>
    </row>
    <row r="41" spans="1:10" x14ac:dyDescent="0.25">
      <c r="B41" s="69">
        <v>1</v>
      </c>
      <c r="C41" s="72">
        <f t="shared" si="3"/>
        <v>1.6</v>
      </c>
      <c r="D41" s="61" t="str">
        <f t="shared" si="4"/>
        <v/>
      </c>
    </row>
    <row r="42" spans="1:10" x14ac:dyDescent="0.25">
      <c r="B42" s="69">
        <v>2</v>
      </c>
      <c r="C42" s="72">
        <f t="shared" si="3"/>
        <v>2.1</v>
      </c>
      <c r="D42" s="61" t="str">
        <f t="shared" si="4"/>
        <v/>
      </c>
    </row>
    <row r="43" spans="1:10" x14ac:dyDescent="0.25">
      <c r="B43" s="69">
        <v>3</v>
      </c>
      <c r="C43" s="72">
        <f t="shared" si="3"/>
        <v>2.6</v>
      </c>
      <c r="D43" s="61" t="str">
        <f t="shared" si="4"/>
        <v/>
      </c>
    </row>
    <row r="44" spans="1:10" x14ac:dyDescent="0.25">
      <c r="B44" s="69">
        <v>4</v>
      </c>
      <c r="C44" s="72">
        <f t="shared" si="3"/>
        <v>3.2</v>
      </c>
      <c r="D44" s="61" t="str">
        <f t="shared" si="4"/>
        <v/>
      </c>
    </row>
    <row r="45" spans="1:10" x14ac:dyDescent="0.25">
      <c r="B45" s="69">
        <v>5</v>
      </c>
      <c r="C45" s="72">
        <f t="shared" si="3"/>
        <v>3.7</v>
      </c>
      <c r="D45" s="61" t="str">
        <f t="shared" si="4"/>
        <v/>
      </c>
    </row>
    <row r="46" spans="1:10" x14ac:dyDescent="0.25">
      <c r="B46" s="69">
        <v>6</v>
      </c>
      <c r="C46" s="72">
        <f t="shared" si="3"/>
        <v>4.1999999999999993</v>
      </c>
      <c r="D46" s="61" t="str">
        <f t="shared" si="4"/>
        <v/>
      </c>
    </row>
    <row r="47" spans="1:10" x14ac:dyDescent="0.25">
      <c r="B47" s="69">
        <v>7</v>
      </c>
      <c r="C47" s="72">
        <f t="shared" si="3"/>
        <v>4.8</v>
      </c>
      <c r="D47" s="61" t="str">
        <f t="shared" si="4"/>
        <v/>
      </c>
    </row>
    <row r="48" spans="1:10" x14ac:dyDescent="0.25">
      <c r="B48" s="69">
        <v>8</v>
      </c>
      <c r="C48" s="72">
        <f t="shared" si="3"/>
        <v>5.3</v>
      </c>
      <c r="D48" s="61" t="str">
        <f t="shared" si="4"/>
        <v/>
      </c>
    </row>
    <row r="49" spans="2:7" x14ac:dyDescent="0.25">
      <c r="B49" s="69">
        <v>9</v>
      </c>
      <c r="C49" s="72">
        <f t="shared" si="3"/>
        <v>5.8</v>
      </c>
      <c r="D49" s="61" t="str">
        <f t="shared" si="4"/>
        <v/>
      </c>
    </row>
    <row r="50" spans="2:7" x14ac:dyDescent="0.25">
      <c r="B50" s="69">
        <v>10</v>
      </c>
      <c r="C50" s="72">
        <f t="shared" si="3"/>
        <v>6.3</v>
      </c>
      <c r="D50" s="61" t="str">
        <f t="shared" si="4"/>
        <v/>
      </c>
    </row>
    <row r="51" spans="2:7" x14ac:dyDescent="0.25">
      <c r="B51" s="69">
        <v>11</v>
      </c>
      <c r="C51" s="72">
        <f t="shared" si="3"/>
        <v>6.8999999999999995</v>
      </c>
      <c r="D51" s="61" t="str">
        <f t="shared" si="4"/>
        <v/>
      </c>
    </row>
    <row r="52" spans="2:7" x14ac:dyDescent="0.25">
      <c r="B52" s="69">
        <v>12</v>
      </c>
      <c r="C52" s="72">
        <f t="shared" si="3"/>
        <v>7.3999999999999995</v>
      </c>
      <c r="D52" s="61" t="str">
        <f t="shared" si="4"/>
        <v/>
      </c>
    </row>
    <row r="53" spans="2:7" x14ac:dyDescent="0.25">
      <c r="B53" s="69">
        <v>13</v>
      </c>
      <c r="C53" s="72">
        <f t="shared" si="3"/>
        <v>7.8999999999999995</v>
      </c>
      <c r="D53" s="61" t="str">
        <f t="shared" si="4"/>
        <v/>
      </c>
    </row>
    <row r="54" spans="2:7" x14ac:dyDescent="0.25">
      <c r="B54" s="69">
        <v>14</v>
      </c>
      <c r="C54" s="72">
        <f t="shared" si="3"/>
        <v>8.5</v>
      </c>
      <c r="D54" s="61" t="str">
        <f t="shared" si="4"/>
        <v/>
      </c>
    </row>
    <row r="55" spans="2:7" x14ac:dyDescent="0.25">
      <c r="B55" s="69">
        <v>15</v>
      </c>
      <c r="C55" s="72">
        <f t="shared" si="3"/>
        <v>9</v>
      </c>
      <c r="D55" s="61" t="str">
        <f t="shared" si="4"/>
        <v/>
      </c>
    </row>
    <row r="56" spans="2:7" x14ac:dyDescent="0.25">
      <c r="B56" s="69">
        <v>16</v>
      </c>
      <c r="C56" s="72">
        <f t="shared" si="3"/>
        <v>9.5</v>
      </c>
      <c r="D56" s="61" t="str">
        <f t="shared" si="4"/>
        <v/>
      </c>
    </row>
    <row r="57" spans="2:7" x14ac:dyDescent="0.25">
      <c r="B57" s="69">
        <v>17</v>
      </c>
      <c r="C57" s="72">
        <f t="shared" si="3"/>
        <v>10</v>
      </c>
      <c r="D57" s="61" t="str">
        <f t="shared" si="4"/>
        <v/>
      </c>
    </row>
    <row r="59" spans="2:7" ht="26.1" customHeight="1" x14ac:dyDescent="0.25">
      <c r="B59" s="67" t="s">
        <v>204</v>
      </c>
    </row>
    <row r="60" spans="2:7" x14ac:dyDescent="0.25">
      <c r="B60" t="s">
        <v>205</v>
      </c>
    </row>
    <row r="61" spans="2:7" ht="35.1" customHeight="1" x14ac:dyDescent="0.25">
      <c r="B61" s="99" t="s">
        <v>206</v>
      </c>
      <c r="C61" s="99"/>
      <c r="D61" s="99"/>
      <c r="E61" s="99"/>
      <c r="F61" s="99"/>
      <c r="G61" s="99"/>
    </row>
    <row r="62" spans="2:7" ht="300" customHeight="1" x14ac:dyDescent="0.25">
      <c r="B62" s="93"/>
      <c r="C62" s="93"/>
      <c r="D62" s="93"/>
      <c r="E62" s="93"/>
      <c r="F62" s="93"/>
      <c r="G62" s="93"/>
    </row>
    <row r="64" spans="2:7" ht="26.1" customHeight="1" x14ac:dyDescent="0.25">
      <c r="B64" s="67" t="s">
        <v>207</v>
      </c>
    </row>
    <row r="65" spans="2:4" ht="24.95" customHeight="1" x14ac:dyDescent="0.25">
      <c r="B65" s="19" t="s">
        <v>208</v>
      </c>
    </row>
    <row r="66" spans="2:4" ht="90" customHeight="1" x14ac:dyDescent="0.25">
      <c r="B66" s="73" t="s">
        <v>19</v>
      </c>
      <c r="C66" s="94"/>
      <c r="D66" s="94"/>
    </row>
    <row r="67" spans="2:4" ht="90" customHeight="1" x14ac:dyDescent="0.25">
      <c r="B67" s="74" t="s">
        <v>20</v>
      </c>
      <c r="C67" s="95"/>
      <c r="D67" s="95"/>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2"/>
  <sheetViews>
    <sheetView showGridLines="0" topLeftCell="B26" workbookViewId="0">
      <selection activeCell="D26" sqref="D2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71</v>
      </c>
      <c r="C1" s="56" t="str">
        <f>VLOOKUP(B1,werkprocessen,2,FALSE)</f>
        <v>Levert een bijdrage aan het projectplan</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32</v>
      </c>
      <c r="B4" s="6">
        <f>SUM(N:N)</f>
        <v>10</v>
      </c>
      <c r="C4" s="55" t="s">
        <v>64</v>
      </c>
      <c r="D4" s="54"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3</v>
      </c>
    </row>
    <row r="8" spans="1:7" hidden="1" x14ac:dyDescent="0.25">
      <c r="A8" t="s">
        <v>34</v>
      </c>
      <c r="B8" s="6">
        <f>0.5*B4</f>
        <v>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B1-K1-W2: Levert een bijdrage aan het projectplan</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209</v>
      </c>
      <c r="C21" s="96"/>
      <c r="D21" s="96"/>
      <c r="E21" s="96"/>
      <c r="F21" s="96"/>
      <c r="G21" s="96"/>
    </row>
    <row r="22" spans="1:15" hidden="1" x14ac:dyDescent="0.25">
      <c r="A22" t="s">
        <v>173</v>
      </c>
      <c r="B22" s="59">
        <v>2</v>
      </c>
      <c r="D22" s="8" t="s">
        <v>174</v>
      </c>
      <c r="E22" s="60" t="s">
        <v>210</v>
      </c>
      <c r="G22" s="8" t="s">
        <v>176</v>
      </c>
      <c r="H22" s="59">
        <f>COUNTIF(Beheersingsniveaus!$C$4:$C$154,$E22)</f>
        <v>4</v>
      </c>
    </row>
    <row r="23" spans="1:15" x14ac:dyDescent="0.25">
      <c r="A23" t="s">
        <v>29</v>
      </c>
      <c r="B23" s="62" t="s">
        <v>177</v>
      </c>
      <c r="C23" s="62" t="s">
        <v>3</v>
      </c>
      <c r="D23" s="62">
        <v>0</v>
      </c>
      <c r="E23" s="62">
        <v>1</v>
      </c>
      <c r="F23" s="62">
        <v>2</v>
      </c>
      <c r="G23" s="62">
        <v>3</v>
      </c>
      <c r="H23" t="s">
        <v>8</v>
      </c>
      <c r="I23" t="s">
        <v>178</v>
      </c>
      <c r="J23" t="s">
        <v>179</v>
      </c>
      <c r="K23" t="s">
        <v>180</v>
      </c>
      <c r="L23" t="s">
        <v>181</v>
      </c>
      <c r="M23" t="s">
        <v>31</v>
      </c>
      <c r="N23" t="s">
        <v>32</v>
      </c>
      <c r="O23" t="s">
        <v>182</v>
      </c>
    </row>
    <row r="24" spans="1:15" ht="114.95" customHeight="1" x14ac:dyDescent="0.25">
      <c r="A24" s="63" t="s">
        <v>211</v>
      </c>
      <c r="B24" s="64" t="str">
        <f>VLOOKUP($A24,Beheersingsniveaus!$D$4:$K$154,2,FALSE)</f>
        <v>T1, T2, T3, T4</v>
      </c>
      <c r="C24" s="64" t="str">
        <f>CONCATENATE(VLOOKUP($A24,Beheersingsniveaus!$D$4:$K$154,3,FALSE),IF($H24=ja,"*",""))</f>
        <v>Project-doelstellingen</v>
      </c>
      <c r="D24" s="65" t="str">
        <f>VLOOKUP($A24,Beheersingsniveaus!$D$4:$K$154,4,FALSE)</f>
        <v>De project-doelstellingen zijn niet in lijn met de opdracht, duidelijk en/of haalbaar.</v>
      </c>
      <c r="E24" s="65" t="str">
        <f>VLOOKUP($A24,Beheersingsniveaus!$D$4:$K$154,5,FALSE)</f>
        <v>De project-doelstellingen zijn in de meeste gevallen in lijn met de opdracht en óf duidelijk óf haalbaar.</v>
      </c>
      <c r="F24" s="65" t="str">
        <f>VLOOKUP($A24,Beheersingsniveaus!$D$4:$K$154,6,FALSE)</f>
        <v>De project-doelstellingen zijn in de meeste gevallen in lijn met de opdracht, duidelijk en haalbaar.</v>
      </c>
      <c r="G24" s="65" t="str">
        <f>VLOOKUP($A24,Beheersingsniveaus!$D$4:$K$154,7,FALSE)</f>
        <v>De project-doelstellingen zijn in lijn met de opdracht, duidelijk en haalbaar.</v>
      </c>
      <c r="H24" s="59">
        <f>VLOOKUP($A24,Beheersingsniveaus!$D$4:$K$154,8,FALSE)</f>
        <v>0</v>
      </c>
      <c r="I24" s="59"/>
      <c r="J24" s="59"/>
      <c r="K24" s="59"/>
      <c r="L24" s="59"/>
      <c r="M24" s="59">
        <f>IF(L24=TRUE,3,IF(K24=TRUE,2,IF(J24=TRUE,1,IF(I24=TRUE,0,0))))</f>
        <v>0</v>
      </c>
      <c r="N24" s="59">
        <f>(4-COUNTBLANK(D24:G24))-1</f>
        <v>3</v>
      </c>
      <c r="O24" s="59">
        <f>COUNTA(I24:L24)</f>
        <v>0</v>
      </c>
    </row>
    <row r="25" spans="1:15" ht="279.95" customHeight="1" x14ac:dyDescent="0.25">
      <c r="A25" s="63" t="s">
        <v>212</v>
      </c>
      <c r="B25" s="64" t="str">
        <f>VLOOKUP($A25,Beheersingsniveaus!$D$4:$K$154,2,FALSE)</f>
        <v>T1, T2, T3, T4</v>
      </c>
      <c r="C25" s="64" t="str">
        <f>CONCATENATE(VLOOKUP($A25,Beheersingsniveaus!$D$4:$K$154,3,FALSE),IF($H25=ja,"*",""))</f>
        <v>Projectactiviteiten</v>
      </c>
      <c r="D25" s="65" t="str">
        <f>VLOOKUP($A25,Beheersingsniveaus!$D$4:$K$154,4,FALSE)</f>
        <v>De werkzaamheden zijn onvolledig, incorrect of onoverzichtelijk weergegeven.
En/of de inzet en middelen voor de werkzaamheden zijn niet of onduidelijk benoemd.
En/of de ontwikkelmethode is niet benoemd.</v>
      </c>
      <c r="E25" s="65" t="str">
        <f>VLOOKUP($A25,Beheersingsniveaus!$D$4:$K$154,5,FALSE)</f>
        <v>De werkzaamheden zijn in de meeste gevallen volledig, correct en overzichtelijk weergegeven.
De inzet en middelen voor de werkzaamheden zijn in de meeste gevallen duidelijk benoemd.
De ontwikkelmethode is benoemd.</v>
      </c>
      <c r="F25" s="65"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65" t="str">
        <f>VLOOKUP($A25,Beheersingsniveaus!$D$4:$K$154,7,FALSE)</f>
        <v>De werkzaamheden zijn volledig, correct en overzichtelijk weergegeven.
De inzet en middelen voor de werkzaamheden zijn duidelijk benoemd.
De ontwikkelmethode is benoemd.</v>
      </c>
      <c r="H25" s="59">
        <f>VLOOKUP($A25,Beheersingsniveaus!$D$4:$K$154,8,FALSE)</f>
        <v>0</v>
      </c>
      <c r="I25" s="59"/>
      <c r="J25" s="59"/>
      <c r="K25" s="59"/>
      <c r="L25" s="59"/>
      <c r="M25" s="59">
        <f>IF(L25=TRUE,3,IF(K25=TRUE,2,IF(J25=TRUE,1,IF(I25=TRUE,0,0))))</f>
        <v>0</v>
      </c>
      <c r="N25" s="59">
        <f>(4-COUNTBLANK(D25:G25))-1</f>
        <v>3</v>
      </c>
      <c r="O25" s="59">
        <f>COUNTA(I25:L25)</f>
        <v>0</v>
      </c>
    </row>
    <row r="26" spans="1:15" ht="114.95" customHeight="1" x14ac:dyDescent="0.25">
      <c r="A26" s="63" t="s">
        <v>213</v>
      </c>
      <c r="B26" s="64" t="str">
        <f>VLOOKUP($A26,Beheersingsniveaus!$D$4:$K$154,2,FALSE)</f>
        <v>T1, T2, T3, T4</v>
      </c>
      <c r="C26" s="64" t="str">
        <f>CONCATENATE(VLOOKUP($A26,Beheersingsniveaus!$D$4:$K$154,3,FALSE),IF($H26=ja,"*",""))</f>
        <v>Planning</v>
      </c>
      <c r="D26" s="65" t="str">
        <f>VLOOKUP($A26,Beheersingsniveaus!$D$4:$K$154,4,FALSE)</f>
        <v>De planning, inclusief voortgangsgesprek-ken, is niet volledig, realistisch, chronologisch en/of overzichtelijk.</v>
      </c>
      <c r="E26" s="65" t="str">
        <f>VLOOKUP($A26,Beheersingsniveaus!$D$4:$K$154,5,FALSE)</f>
        <v>De planning, inclusief voortgangsgesprek-ken, is volledig en realistisch, maar niet chronologisch en/of overzichtelijk.</v>
      </c>
      <c r="F26" s="65" t="str">
        <f>VLOOKUP($A26,Beheersingsniveaus!$D$4:$K$154,6,FALSE)</f>
        <v>De planning, inclusief voortgangsgesprek-ken, is volledig, realistisch en chronologisch of overzichtelijk.</v>
      </c>
      <c r="G26" s="65" t="str">
        <f>VLOOKUP($A26,Beheersingsniveaus!$D$4:$K$154,7,FALSE)</f>
        <v>De planning, inclusief voortgangsgesprek-ken, is volledig, realistisch, chronologisch en overzichtelijk.</v>
      </c>
      <c r="H26" s="59">
        <f>VLOOKUP($A26,Beheersingsniveaus!$D$4:$K$154,8,FALSE)</f>
        <v>0</v>
      </c>
      <c r="I26" s="59"/>
      <c r="J26" s="59"/>
      <c r="K26" s="59"/>
      <c r="L26" s="59"/>
      <c r="M26" s="59">
        <f>IF(L26=TRUE,3,IF(K26=TRUE,2,IF(J26=TRUE,1,IF(I26=TRUE,0,0))))</f>
        <v>0</v>
      </c>
      <c r="N26" s="59">
        <f>(4-COUNTBLANK(D26:G26))-1</f>
        <v>3</v>
      </c>
      <c r="O26" s="59">
        <f>COUNTA(I26:L26)</f>
        <v>0</v>
      </c>
    </row>
    <row r="27" spans="1:15" ht="129.94999999999999" customHeight="1" x14ac:dyDescent="0.25">
      <c r="A27" s="63" t="s">
        <v>214</v>
      </c>
      <c r="B27" s="64" t="str">
        <f>VLOOKUP($A27,Beheersingsniveaus!$D$4:$K$154,2,FALSE)</f>
        <v>T5</v>
      </c>
      <c r="C27" s="64" t="str">
        <f>CONCATENATE(VLOOKUP($A27,Beheersingsniveaus!$D$4:$K$154,3,FALSE),IF($H27=ja,"*",""))</f>
        <v>Afstemmen</v>
      </c>
      <c r="D27" s="65" t="str">
        <f>VLOOKUP($A27,Beheersingsniveaus!$D$4:$K$154,4,FALSE)</f>
        <v xml:space="preserve">De bijdrage aan het projectplan wordt niet afgestemd.
Er wordt niet om goedkeuring gevraagd.
</v>
      </c>
      <c r="E27" s="65" t="str">
        <f>VLOOKUP($A27,Beheersingsniveaus!$D$4:$K$154,5,FALSE)</f>
        <v>De bijdrage aan het projectplan wordt afgestemd.
Er wordt om goedkeuring gevraagd.</v>
      </c>
      <c r="F27" s="66"/>
      <c r="G27" s="66"/>
      <c r="H27" s="59">
        <f>VLOOKUP($A27,Beheersingsniveaus!$D$4:$K$154,8,FALSE)</f>
        <v>0</v>
      </c>
      <c r="I27" s="59"/>
      <c r="J27" s="59"/>
      <c r="K27" s="59"/>
      <c r="L27" s="59"/>
      <c r="M27" s="59">
        <f>IF(L27=TRUE,3,IF(K27=TRUE,2,IF(J27=TRUE,1,IF(I27=TRUE,0,0))))</f>
        <v>0</v>
      </c>
      <c r="N27" s="59">
        <f>(4-COUNTBLANK(D27:G27))-1</f>
        <v>1</v>
      </c>
      <c r="O27" s="59">
        <f>COUNTA(I27:L27)</f>
        <v>0</v>
      </c>
    </row>
    <row r="29" spans="1:15" ht="28.5" customHeight="1" x14ac:dyDescent="0.4">
      <c r="B29" s="97" t="s">
        <v>215</v>
      </c>
      <c r="C29" s="98"/>
      <c r="D29" s="98"/>
      <c r="E29" s="98"/>
      <c r="F29" s="98"/>
      <c r="G29" s="98"/>
    </row>
    <row r="30" spans="1:15" ht="26.1" customHeight="1" x14ac:dyDescent="0.25">
      <c r="B30" s="67" t="s">
        <v>200</v>
      </c>
    </row>
    <row r="31" spans="1:15" x14ac:dyDescent="0.25">
      <c r="B31" s="68" t="s">
        <v>201</v>
      </c>
      <c r="C31" s="68" t="s">
        <v>202</v>
      </c>
      <c r="D31" s="71" t="s">
        <v>203</v>
      </c>
    </row>
    <row r="32" spans="1:15" x14ac:dyDescent="0.25">
      <c r="B32" s="69">
        <v>0</v>
      </c>
      <c r="C32" s="72">
        <f t="shared" ref="C32:C42" si="0">ROUNDUP(IF(B32&lt;$B$8,4.5/$B$8*B32+1,4.5/($B$4-$B$8)*(B32-$B$8)+5.5),1)</f>
        <v>1</v>
      </c>
      <c r="D32" s="61" t="str">
        <f t="shared" ref="D32:D42" si="1">IF($B32=$B$5,"X","")</f>
        <v>X</v>
      </c>
    </row>
    <row r="33" spans="2:7" x14ac:dyDescent="0.25">
      <c r="B33" s="69">
        <v>1</v>
      </c>
      <c r="C33" s="72">
        <f t="shared" si="0"/>
        <v>1.9</v>
      </c>
      <c r="D33" s="61" t="str">
        <f t="shared" si="1"/>
        <v/>
      </c>
    </row>
    <row r="34" spans="2:7" x14ac:dyDescent="0.25">
      <c r="B34" s="69">
        <v>2</v>
      </c>
      <c r="C34" s="72">
        <f t="shared" si="0"/>
        <v>2.8</v>
      </c>
      <c r="D34" s="61" t="str">
        <f t="shared" si="1"/>
        <v/>
      </c>
    </row>
    <row r="35" spans="2:7" x14ac:dyDescent="0.25">
      <c r="B35" s="69">
        <v>3</v>
      </c>
      <c r="C35" s="72">
        <f t="shared" si="0"/>
        <v>3.7</v>
      </c>
      <c r="D35" s="61" t="str">
        <f t="shared" si="1"/>
        <v/>
      </c>
    </row>
    <row r="36" spans="2:7" x14ac:dyDescent="0.25">
      <c r="B36" s="69">
        <v>4</v>
      </c>
      <c r="C36" s="72">
        <f t="shared" si="0"/>
        <v>4.5999999999999996</v>
      </c>
      <c r="D36" s="61" t="str">
        <f t="shared" si="1"/>
        <v/>
      </c>
    </row>
    <row r="37" spans="2:7" x14ac:dyDescent="0.25">
      <c r="B37" s="69">
        <v>5</v>
      </c>
      <c r="C37" s="72">
        <f t="shared" si="0"/>
        <v>5.5</v>
      </c>
      <c r="D37" s="61" t="str">
        <f t="shared" si="1"/>
        <v/>
      </c>
    </row>
    <row r="38" spans="2:7" x14ac:dyDescent="0.25">
      <c r="B38" s="69">
        <v>6</v>
      </c>
      <c r="C38" s="72">
        <f t="shared" si="0"/>
        <v>6.4</v>
      </c>
      <c r="D38" s="61" t="str">
        <f t="shared" si="1"/>
        <v/>
      </c>
    </row>
    <row r="39" spans="2:7" x14ac:dyDescent="0.25">
      <c r="B39" s="69">
        <v>7</v>
      </c>
      <c r="C39" s="72">
        <f t="shared" si="0"/>
        <v>7.3</v>
      </c>
      <c r="D39" s="61" t="str">
        <f t="shared" si="1"/>
        <v/>
      </c>
    </row>
    <row r="40" spans="2:7" x14ac:dyDescent="0.25">
      <c r="B40" s="69">
        <v>8</v>
      </c>
      <c r="C40" s="72">
        <f t="shared" si="0"/>
        <v>8.1999999999999993</v>
      </c>
      <c r="D40" s="61" t="str">
        <f t="shared" si="1"/>
        <v/>
      </c>
    </row>
    <row r="41" spans="2:7" x14ac:dyDescent="0.25">
      <c r="B41" s="69">
        <v>9</v>
      </c>
      <c r="C41" s="72">
        <f t="shared" si="0"/>
        <v>9.1</v>
      </c>
      <c r="D41" s="61" t="str">
        <f t="shared" si="1"/>
        <v/>
      </c>
    </row>
    <row r="42" spans="2:7" x14ac:dyDescent="0.25">
      <c r="B42" s="69">
        <v>10</v>
      </c>
      <c r="C42" s="72">
        <f t="shared" si="0"/>
        <v>10</v>
      </c>
      <c r="D42" s="61" t="str">
        <f t="shared" si="1"/>
        <v/>
      </c>
    </row>
    <row r="44" spans="2:7" ht="26.1" customHeight="1" x14ac:dyDescent="0.25">
      <c r="B44" s="67" t="s">
        <v>204</v>
      </c>
    </row>
    <row r="45" spans="2:7" x14ac:dyDescent="0.25">
      <c r="B45" t="s">
        <v>205</v>
      </c>
    </row>
    <row r="46" spans="2:7" ht="35.1" customHeight="1" x14ac:dyDescent="0.25">
      <c r="B46" s="99" t="s">
        <v>206</v>
      </c>
      <c r="C46" s="99"/>
      <c r="D46" s="99"/>
      <c r="E46" s="99"/>
      <c r="F46" s="99"/>
      <c r="G46" s="99"/>
    </row>
    <row r="47" spans="2:7" ht="300" customHeight="1" x14ac:dyDescent="0.25">
      <c r="B47" s="93"/>
      <c r="C47" s="93"/>
      <c r="D47" s="93"/>
      <c r="E47" s="93"/>
      <c r="F47" s="93"/>
      <c r="G47" s="93"/>
    </row>
    <row r="49" spans="2:4" ht="26.1" customHeight="1" x14ac:dyDescent="0.25">
      <c r="B49" s="67" t="s">
        <v>207</v>
      </c>
    </row>
    <row r="50" spans="2:4" ht="24.95" customHeight="1" x14ac:dyDescent="0.25">
      <c r="B50" s="19" t="s">
        <v>208</v>
      </c>
    </row>
    <row r="51" spans="2:4" ht="90" customHeight="1" x14ac:dyDescent="0.25">
      <c r="B51" s="73" t="s">
        <v>19</v>
      </c>
      <c r="C51" s="94"/>
      <c r="D51" s="94"/>
    </row>
    <row r="52" spans="2:4" ht="90" customHeight="1" x14ac:dyDescent="0.25">
      <c r="B52" s="74" t="s">
        <v>20</v>
      </c>
      <c r="C52" s="95"/>
      <c r="D52" s="95"/>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80"/>
  <sheetViews>
    <sheetView showGridLines="0" topLeftCell="B31" workbookViewId="0">
      <selection activeCell="F33" sqref="F33"/>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6" t="str">
        <f>VLOOKUP(B1,werkprocessen,2,FALSE)</f>
        <v>Levert een bijdrage aan het ontwerp</v>
      </c>
    </row>
    <row r="2" spans="1:7" hidden="1" x14ac:dyDescent="0.25">
      <c r="A2" t="s">
        <v>26</v>
      </c>
      <c r="B2" s="6">
        <f>VLOOKUP(B1,KerntakenEnWerkprocessen!B13:E27,3,FALSE)</f>
        <v>3</v>
      </c>
    </row>
    <row r="3" spans="1:7" hidden="1" x14ac:dyDescent="0.25">
      <c r="A3" t="s">
        <v>27</v>
      </c>
      <c r="B3" s="6">
        <f>VLOOKUP(B1,KerntakenEnWerkprocessen!B13:E27,4,FALSE)</f>
        <v>4</v>
      </c>
    </row>
    <row r="4" spans="1:7" hidden="1" x14ac:dyDescent="0.25">
      <c r="A4" t="s">
        <v>32</v>
      </c>
      <c r="B4" s="6">
        <f>SUM(N:N)</f>
        <v>19</v>
      </c>
      <c r="C4" s="55" t="s">
        <v>64</v>
      </c>
      <c r="D4" s="54"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6</v>
      </c>
    </row>
    <row r="8" spans="1:7" hidden="1" x14ac:dyDescent="0.25">
      <c r="A8" t="s">
        <v>34</v>
      </c>
      <c r="B8" s="6">
        <f>0.5*B4</f>
        <v>9.5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B1-K1-W3: Levert een bijdrage aan het ontwerp</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216</v>
      </c>
      <c r="C21" s="96"/>
      <c r="D21" s="96"/>
      <c r="E21" s="96"/>
      <c r="F21" s="96"/>
      <c r="G21" s="96"/>
    </row>
    <row r="22" spans="1:15" hidden="1" x14ac:dyDescent="0.25">
      <c r="A22" t="s">
        <v>173</v>
      </c>
      <c r="B22" s="59">
        <v>3</v>
      </c>
      <c r="D22" s="8" t="s">
        <v>174</v>
      </c>
      <c r="E22" s="60" t="s">
        <v>217</v>
      </c>
      <c r="G22" s="8" t="s">
        <v>176</v>
      </c>
      <c r="H22" s="59">
        <f>COUNTIF(Beheersingsniveaus!$C$4:$C$154,$E22)</f>
        <v>4</v>
      </c>
    </row>
    <row r="23" spans="1:15" x14ac:dyDescent="0.25">
      <c r="A23" t="s">
        <v>29</v>
      </c>
      <c r="B23" s="62" t="s">
        <v>177</v>
      </c>
      <c r="C23" s="62" t="s">
        <v>3</v>
      </c>
      <c r="D23" s="62">
        <v>0</v>
      </c>
      <c r="E23" s="62">
        <v>1</v>
      </c>
      <c r="F23" s="62">
        <v>2</v>
      </c>
      <c r="G23" s="62">
        <v>3</v>
      </c>
      <c r="H23" t="s">
        <v>8</v>
      </c>
      <c r="I23" t="s">
        <v>178</v>
      </c>
      <c r="J23" t="s">
        <v>179</v>
      </c>
      <c r="K23" t="s">
        <v>180</v>
      </c>
      <c r="L23" t="s">
        <v>181</v>
      </c>
      <c r="M23" t="s">
        <v>31</v>
      </c>
      <c r="N23" t="s">
        <v>32</v>
      </c>
      <c r="O23" t="s">
        <v>182</v>
      </c>
    </row>
    <row r="24" spans="1:15" ht="339.95" customHeight="1" x14ac:dyDescent="0.25">
      <c r="A24" s="63" t="s">
        <v>218</v>
      </c>
      <c r="B24" s="64" t="str">
        <f>VLOOKUP($A24,Beheersingsniveaus!$D$4:$K$154,2,FALSE)</f>
        <v>T1, T2</v>
      </c>
      <c r="C24" s="64" t="str">
        <f>CONCATENATE(VLOOKUP($A24,Beheersingsniveaus!$D$4:$K$154,3,FALSE),IF($H24=ja,"*",""))</f>
        <v>Functionaliteiten*</v>
      </c>
      <c r="D24" s="65"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65"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65"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65"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9" t="str">
        <f>VLOOKUP($A24,Beheersingsniveaus!$D$4:$K$154,8,FALSE)</f>
        <v>Ja</v>
      </c>
      <c r="I24" s="59"/>
      <c r="J24" s="59"/>
      <c r="K24" s="59"/>
      <c r="L24" s="59"/>
      <c r="M24" s="59">
        <f>IF(L24=TRUE,3,IF(K24=TRUE,2,IF(J24=TRUE,1,IF(I24=TRUE,0,0))))</f>
        <v>0</v>
      </c>
      <c r="N24" s="59">
        <f>(4-COUNTBLANK(D24:G24))-1</f>
        <v>3</v>
      </c>
      <c r="O24" s="59">
        <f>COUNTA(I24:L24)</f>
        <v>0</v>
      </c>
    </row>
    <row r="25" spans="1:15" ht="219.95" customHeight="1" x14ac:dyDescent="0.25">
      <c r="A25" s="63" t="s">
        <v>219</v>
      </c>
      <c r="B25" s="64" t="str">
        <f>VLOOKUP($A25,Beheersingsniveaus!$D$4:$K$154,2,FALSE)</f>
        <v>T3</v>
      </c>
      <c r="C25" s="64" t="str">
        <f>CONCATENATE(VLOOKUP($A25,Beheersingsniveaus!$D$4:$K$154,3,FALSE),IF($H25=ja,"*",""))</f>
        <v>Toepassen schema-technieken</v>
      </c>
      <c r="D25" s="65" t="str">
        <f>VLOOKUP($A25,Beheersingsniveaus!$D$4:$K$154,4,FALSE)</f>
        <v>Er is geen schematechniek gebruikt.
Of
De verkeerde schematechnieken zijn gebruikt.</v>
      </c>
      <c r="E25" s="65" t="str">
        <f>VLOOKUP($A25,Beheersingsniveaus!$D$4:$K$154,5,FALSE)</f>
        <v xml:space="preserve">De schematechnieken zijn in de meeste gevallen juist gekozen.
De schematechnieken verduidelijken de functionaliteit, maar zijn in de meeste gevallen niet juist uitgevoerd. 
</v>
      </c>
      <c r="F25" s="65" t="str">
        <f>VLOOKUP($A25,Beheersingsniveaus!$D$4:$K$154,6,FALSE)</f>
        <v>De juiste schematechnieken zijn gekozen.
De schematechnieken verduidelijken de functionaliteit en zijn in de meeste gevallen juist uitgevoerd.</v>
      </c>
      <c r="G25" s="65" t="str">
        <f>VLOOKUP($A25,Beheersingsniveaus!$D$4:$K$154,7,FALSE)</f>
        <v>De juiste schematechnieken zijn gekozen.
De schematechnieken verduidelijken de functionaliteit en zijn juist uitgevoerd.</v>
      </c>
      <c r="H25" s="59">
        <f>VLOOKUP($A25,Beheersingsniveaus!$D$4:$K$154,8,FALSE)</f>
        <v>0</v>
      </c>
      <c r="I25" s="59"/>
      <c r="J25" s="59"/>
      <c r="K25" s="59"/>
      <c r="L25" s="59"/>
      <c r="M25" s="59">
        <f>IF(L25=TRUE,3,IF(K25=TRUE,2,IF(J25=TRUE,1,IF(I25=TRUE,0,0))))</f>
        <v>0</v>
      </c>
      <c r="N25" s="59">
        <f>(4-COUNTBLANK(D25:G25))-1</f>
        <v>3</v>
      </c>
      <c r="O25" s="59">
        <f>COUNTA(I25:L25)</f>
        <v>0</v>
      </c>
    </row>
    <row r="26" spans="1:15" ht="399.95" customHeight="1" x14ac:dyDescent="0.25">
      <c r="A26" s="63" t="s">
        <v>220</v>
      </c>
      <c r="B26" s="64" t="str">
        <f>VLOOKUP($A26,Beheersingsniveaus!$D$4:$K$154,2,FALSE)</f>
        <v>T4</v>
      </c>
      <c r="C26" s="64" t="str">
        <f>CONCATENATE(VLOOKUP($A26,Beheersingsniveaus!$D$4:$K$154,3,FALSE),IF($H26=ja,"*",""))</f>
        <v>User interface</v>
      </c>
      <c r="D26" s="65" t="str">
        <f>VLOOKUP($A26,Beheersingsniveaus!$D$4:$K$154,4,FALSE)</f>
        <v>Het is niet helder hoe het systeem eruit gaat zien qua lay-out.
Of
Het is niet helder welke gegevens nodig zijn.
Of
Het is niet duidelijk welke schermen er komen en de relatie tussen deze schermen is niet helder.</v>
      </c>
      <c r="E26" s="65"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65"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65"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9">
        <f>VLOOKUP($A26,Beheersingsniveaus!$D$4:$K$154,8,FALSE)</f>
        <v>0</v>
      </c>
      <c r="I26" s="59"/>
      <c r="J26" s="59"/>
      <c r="K26" s="59"/>
      <c r="L26" s="59"/>
      <c r="M26" s="59">
        <f>IF(L26=TRUE,3,IF(K26=TRUE,2,IF(J26=TRUE,1,IF(I26=TRUE,0,0))))</f>
        <v>0</v>
      </c>
      <c r="N26" s="59">
        <f>(4-COUNTBLANK(D26:G26))-1</f>
        <v>3</v>
      </c>
      <c r="O26" s="59">
        <f>COUNTA(I26:L26)</f>
        <v>0</v>
      </c>
    </row>
    <row r="27" spans="1:15" ht="249.95" customHeight="1" x14ac:dyDescent="0.25">
      <c r="A27" s="63" t="s">
        <v>221</v>
      </c>
      <c r="B27" s="64" t="str">
        <f>VLOOKUP($A27,Beheersingsniveaus!$D$4:$K$154,2,FALSE)</f>
        <v>T5</v>
      </c>
      <c r="C27" s="64" t="str">
        <f>CONCATENATE(VLOOKUP($A27,Beheersingsniveaus!$D$4:$K$154,3,FALSE),IF($H27=ja,"*",""))</f>
        <v>Communiceren FO*</v>
      </c>
      <c r="D27" s="65" t="str">
        <f>VLOOKUP($A27,Beheersingsniveaus!$D$4:$K$154,4,FALSE)</f>
        <v xml:space="preserve">Het FO wordt niet overgedragen of niet toegelicht.
Of
Er wordt niet om goedkeuring gevraagd.
Of
Gebruikt veel vaktaal zonder dit uit te leggen.
</v>
      </c>
      <c r="E27" s="65" t="str">
        <f>VLOOKUP($A27,Beheersingsniveaus!$D$4:$K$154,5,FALSE)</f>
        <v>Het FO wordt overgedragen en toegelicht.
Er wordt om goedkeuring gevraagd.
Gebruikt soms vaktaal en/of legt deze in de meeste gevallen niet begrijpelijk uit.</v>
      </c>
      <c r="F27" s="65" t="str">
        <f>VLOOKUP($A27,Beheersingsniveaus!$D$4:$K$154,6,FALSE)</f>
        <v>Het FO wordt overgedragen en toegelicht.
Er wordt om goedkeuring gevraagd.
Gebruikt weinig tot geen vaktaal en/of legt deze in de meeste gevallen begrijpelijk uit.</v>
      </c>
      <c r="G27" s="65" t="str">
        <f>VLOOKUP($A27,Beheersingsniveaus!$D$4:$K$154,7,FALSE)</f>
        <v>Het FO wordt overgedragen en toegelicht.
Er wordt om goedkeuring gevraagd.
Gebruikt weinig tot geen vaktaal en legt deze begrijpelijk uit.</v>
      </c>
      <c r="H27" s="59" t="str">
        <f>VLOOKUP($A27,Beheersingsniveaus!$D$4:$K$154,8,FALSE)</f>
        <v>Ja</v>
      </c>
      <c r="I27" s="59"/>
      <c r="J27" s="59"/>
      <c r="K27" s="59"/>
      <c r="L27" s="59"/>
      <c r="M27" s="59">
        <f>IF(L27=TRUE,3,IF(K27=TRUE,2,IF(J27=TRUE,1,IF(I27=TRUE,0,0))))</f>
        <v>0</v>
      </c>
      <c r="N27" s="59">
        <f>(4-COUNTBLANK(D27:G27))-1</f>
        <v>3</v>
      </c>
      <c r="O27" s="59">
        <f>COUNTA(I27:L27)</f>
        <v>0</v>
      </c>
    </row>
    <row r="29" spans="1:15" ht="24" customHeight="1" x14ac:dyDescent="0.25">
      <c r="B29" s="96" t="s">
        <v>222</v>
      </c>
      <c r="C29" s="96"/>
      <c r="D29" s="96"/>
      <c r="E29" s="96"/>
      <c r="F29" s="96"/>
      <c r="G29" s="96"/>
    </row>
    <row r="30" spans="1:15" hidden="1" x14ac:dyDescent="0.25">
      <c r="A30" t="s">
        <v>173</v>
      </c>
      <c r="B30" s="59">
        <v>4</v>
      </c>
      <c r="D30" s="8" t="s">
        <v>174</v>
      </c>
      <c r="E30" s="60" t="s">
        <v>223</v>
      </c>
      <c r="G30" s="8" t="s">
        <v>176</v>
      </c>
      <c r="H30" s="59">
        <f>COUNTIF(Beheersingsniveaus!$C$4:$C$154,$E30)</f>
        <v>3</v>
      </c>
    </row>
    <row r="31" spans="1:15" x14ac:dyDescent="0.25">
      <c r="A31" t="s">
        <v>29</v>
      </c>
      <c r="B31" s="62" t="s">
        <v>177</v>
      </c>
      <c r="C31" s="62" t="s">
        <v>3</v>
      </c>
      <c r="D31" s="62">
        <v>0</v>
      </c>
      <c r="E31" s="62">
        <v>1</v>
      </c>
      <c r="F31" s="62">
        <v>2</v>
      </c>
      <c r="G31" s="62">
        <v>3</v>
      </c>
      <c r="H31" t="s">
        <v>8</v>
      </c>
      <c r="I31" t="s">
        <v>178</v>
      </c>
      <c r="J31" t="s">
        <v>179</v>
      </c>
      <c r="K31" t="s">
        <v>180</v>
      </c>
      <c r="L31" t="s">
        <v>181</v>
      </c>
      <c r="M31" t="s">
        <v>31</v>
      </c>
      <c r="N31" t="s">
        <v>32</v>
      </c>
      <c r="O31" t="s">
        <v>182</v>
      </c>
    </row>
    <row r="32" spans="1:15" ht="339.95" customHeight="1" x14ac:dyDescent="0.25">
      <c r="A32" s="63" t="s">
        <v>224</v>
      </c>
      <c r="B32" s="64" t="str">
        <f>VLOOKUP($A32,Beheersingsniveaus!$D$4:$K$154,2,FALSE)</f>
        <v>T6, T8</v>
      </c>
      <c r="C32" s="64" t="str">
        <f>CONCATENATE(VLOOKUP($A32,Beheersingsniveaus!$D$4:$K$154,3,FALSE),IF($H32=ja,"*",""))</f>
        <v>Technische specificaties</v>
      </c>
      <c r="D32" s="65"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65"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65"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65"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9">
        <f>VLOOKUP($A32,Beheersingsniveaus!$D$4:$K$154,8,FALSE)</f>
        <v>0</v>
      </c>
      <c r="I32" s="59"/>
      <c r="J32" s="59"/>
      <c r="K32" s="59"/>
      <c r="L32" s="59"/>
      <c r="M32" s="59">
        <f>IF(L32=TRUE,3,IF(K32=TRUE,2,IF(J32=TRUE,1,IF(I32=TRUE,0,0))))</f>
        <v>0</v>
      </c>
      <c r="N32" s="59">
        <f>(4-COUNTBLANK(D32:G32))-1</f>
        <v>3</v>
      </c>
      <c r="O32" s="59">
        <f>COUNTA(I32:L32)</f>
        <v>0</v>
      </c>
    </row>
    <row r="33" spans="1:15" ht="309.95" customHeight="1" x14ac:dyDescent="0.25">
      <c r="A33" s="63" t="s">
        <v>225</v>
      </c>
      <c r="B33" s="64" t="str">
        <f>VLOOKUP($A33,Beheersingsniveaus!$D$4:$K$154,2,FALSE)</f>
        <v>T7</v>
      </c>
      <c r="C33" s="64" t="str">
        <f>CONCATENATE(VLOOKUP($A33,Beheersingsniveaus!$D$4:$K$154,3,FALSE),IF($H33=ja,"*",""))</f>
        <v>Relationeel datamodel*</v>
      </c>
      <c r="D33" s="65"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65"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65"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65" t="str">
        <f>VLOOKUP($A33,Beheersingsniveaus!$D$4:$K$154,7,FALSE)</f>
        <v>Alle entiteiten en eigenschappen/ attributen zijn beschreven in het datamodel en gebaseerd op het FO.
Alle informatie uit het FO is verwerkt in het datamodel.
Alle relaties zijn op de juiste wijze beschreven.</v>
      </c>
      <c r="H33" s="59" t="str">
        <f>VLOOKUP($A33,Beheersingsniveaus!$D$4:$K$154,8,FALSE)</f>
        <v>Ja</v>
      </c>
      <c r="I33" s="59"/>
      <c r="J33" s="59"/>
      <c r="K33" s="59"/>
      <c r="L33" s="59"/>
      <c r="M33" s="59">
        <f>IF(L33=TRUE,3,IF(K33=TRUE,2,IF(J33=TRUE,1,IF(I33=TRUE,0,0))))</f>
        <v>0</v>
      </c>
      <c r="N33" s="59">
        <f>(4-COUNTBLANK(D33:G33))-1</f>
        <v>3</v>
      </c>
      <c r="O33" s="59">
        <f>COUNTA(I33:L33)</f>
        <v>0</v>
      </c>
    </row>
    <row r="34" spans="1:15" ht="129.94999999999999" customHeight="1" x14ac:dyDescent="0.25">
      <c r="A34" s="63" t="s">
        <v>226</v>
      </c>
      <c r="B34" s="64" t="str">
        <f>VLOOKUP($A34,Beheersingsniveaus!$D$4:$K$154,2,FALSE)</f>
        <v>T9</v>
      </c>
      <c r="C34" s="64" t="str">
        <f>CONCATENATE(VLOOKUP($A34,Beheersingsniveaus!$D$4:$K$154,3,FALSE),IF($H34=ja,"*",""))</f>
        <v>CommunicerenTO</v>
      </c>
      <c r="D34" s="65" t="str">
        <f>VLOOKUP($A34,Beheersingsniveaus!$D$4:$K$154,4,FALSE)</f>
        <v xml:space="preserve">Het TO wordt niet overgedragen of niet toegelicht.
Er wordt niet om goedkeuring gevraagd.
</v>
      </c>
      <c r="E34" s="65" t="str">
        <f>VLOOKUP($A34,Beheersingsniveaus!$D$4:$K$154,5,FALSE)</f>
        <v>Het TO wordt overgedragen en toegelicht.
Er wordt om goedkeuring gevraagd.</v>
      </c>
      <c r="F34" s="66"/>
      <c r="G34" s="66"/>
      <c r="H34" s="59">
        <f>VLOOKUP($A34,Beheersingsniveaus!$D$4:$K$154,8,FALSE)</f>
        <v>0</v>
      </c>
      <c r="I34" s="59"/>
      <c r="J34" s="59"/>
      <c r="K34" s="59"/>
      <c r="L34" s="59"/>
      <c r="M34" s="59">
        <f>IF(L34=TRUE,3,IF(K34=TRUE,2,IF(J34=TRUE,1,IF(I34=TRUE,0,0))))</f>
        <v>0</v>
      </c>
      <c r="N34" s="59">
        <f>(4-COUNTBLANK(D34:G34))-1</f>
        <v>1</v>
      </c>
      <c r="O34" s="59">
        <f>COUNTA(I34:L34)</f>
        <v>0</v>
      </c>
    </row>
    <row r="35" spans="1:15" x14ac:dyDescent="0.25">
      <c r="B35" t="s">
        <v>190</v>
      </c>
    </row>
    <row r="36" spans="1:15" ht="28.5" customHeight="1" x14ac:dyDescent="0.4">
      <c r="B36" s="97" t="s">
        <v>227</v>
      </c>
      <c r="C36" s="98"/>
      <c r="D36" s="98"/>
      <c r="E36" s="98"/>
      <c r="F36" s="98"/>
      <c r="G36" s="98"/>
    </row>
    <row r="37" spans="1:15" ht="26.1" customHeight="1" x14ac:dyDescent="0.25">
      <c r="B37" s="67" t="s">
        <v>192</v>
      </c>
    </row>
    <row r="38" spans="1:15" hidden="1" x14ac:dyDescent="0.25">
      <c r="B38" t="s">
        <v>193</v>
      </c>
      <c r="C38" s="59">
        <f>COUNTIF($H:$H,ja)</f>
        <v>3</v>
      </c>
      <c r="D38" s="8" t="s">
        <v>194</v>
      </c>
      <c r="E38" s="60" t="b">
        <f>IF(COUNTIF(J38:J42,FALSE)=0,TRUE,FALSE)</f>
        <v>0</v>
      </c>
    </row>
    <row r="39" spans="1:15" x14ac:dyDescent="0.25">
      <c r="A39" t="s">
        <v>29</v>
      </c>
      <c r="B39" s="68" t="s">
        <v>195</v>
      </c>
      <c r="C39" s="68"/>
      <c r="D39" s="70" t="s">
        <v>196</v>
      </c>
      <c r="E39" s="71"/>
      <c r="H39" t="s">
        <v>197</v>
      </c>
      <c r="I39" t="s">
        <v>198</v>
      </c>
      <c r="J39" t="s">
        <v>199</v>
      </c>
    </row>
    <row r="40" spans="1:15" x14ac:dyDescent="0.25">
      <c r="A40" s="59" t="s">
        <v>218</v>
      </c>
      <c r="B40" t="str">
        <f>VLOOKUP($A40,Beheersingsniveaus!$D$3:$F$154,3,FALSE)</f>
        <v>Functionaliteiten</v>
      </c>
      <c r="D40" s="75" t="s">
        <v>14</v>
      </c>
      <c r="E40" s="75" t="s">
        <v>15</v>
      </c>
      <c r="H40" s="59" t="b">
        <f>J40</f>
        <v>0</v>
      </c>
      <c r="I40" s="59" t="b">
        <f>IF(J40=FALSE,TRUE,FALSE)</f>
        <v>1</v>
      </c>
      <c r="J40" s="59" t="b">
        <f>IF(VLOOKUP($A40,$A$21:$N$35,13,FALSE)&gt;0,TRUE,FALSE)</f>
        <v>0</v>
      </c>
    </row>
    <row r="41" spans="1:15" x14ac:dyDescent="0.25">
      <c r="A41" s="59" t="s">
        <v>221</v>
      </c>
      <c r="B41" t="str">
        <f>VLOOKUP($A41,Beheersingsniveaus!$D$3:$F$154,3,FALSE)</f>
        <v>Communiceren FO</v>
      </c>
      <c r="D41" s="75" t="s">
        <v>14</v>
      </c>
      <c r="E41" s="75" t="s">
        <v>15</v>
      </c>
      <c r="H41" s="59" t="b">
        <f>J41</f>
        <v>0</v>
      </c>
      <c r="I41" s="59" t="b">
        <f>IF(J41=FALSE,TRUE,FALSE)</f>
        <v>1</v>
      </c>
      <c r="J41" s="59" t="b">
        <f>IF(VLOOKUP($A41,$A$21:$N$35,13,FALSE)&gt;0,TRUE,FALSE)</f>
        <v>0</v>
      </c>
    </row>
    <row r="42" spans="1:15" x14ac:dyDescent="0.25">
      <c r="A42" s="59" t="s">
        <v>225</v>
      </c>
      <c r="B42" t="str">
        <f>VLOOKUP($A42,Beheersingsniveaus!$D$3:$F$154,3,FALSE)</f>
        <v>Relationeel datamodel</v>
      </c>
      <c r="D42" s="75" t="s">
        <v>14</v>
      </c>
      <c r="E42" s="75" t="s">
        <v>15</v>
      </c>
      <c r="H42" s="59" t="b">
        <f>J42</f>
        <v>0</v>
      </c>
      <c r="I42" s="59" t="b">
        <f>IF(J42=FALSE,TRUE,FALSE)</f>
        <v>1</v>
      </c>
      <c r="J42" s="59" t="b">
        <f>IF(VLOOKUP($A42,$A$21:$N$35,13,FALSE)&gt;0,TRUE,FALSE)</f>
        <v>0</v>
      </c>
    </row>
    <row r="45" spans="1:15" x14ac:dyDescent="0.25">
      <c r="B45" t="s">
        <v>228</v>
      </c>
    </row>
    <row r="46" spans="1:15" x14ac:dyDescent="0.25">
      <c r="B46" s="76" t="s">
        <v>14</v>
      </c>
      <c r="C46" t="s">
        <v>229</v>
      </c>
      <c r="H46" s="59" t="b">
        <f>E38</f>
        <v>0</v>
      </c>
    </row>
    <row r="47" spans="1:15" x14ac:dyDescent="0.25">
      <c r="B47" s="76" t="s">
        <v>15</v>
      </c>
      <c r="C47" t="s">
        <v>230</v>
      </c>
      <c r="H47" s="59" t="b">
        <f>IF(E38=FALSE,TRUE,FALSE)</f>
        <v>1</v>
      </c>
    </row>
    <row r="49" spans="2:4" ht="26.1" customHeight="1" x14ac:dyDescent="0.25">
      <c r="B49" s="67" t="s">
        <v>200</v>
      </c>
    </row>
    <row r="50" spans="2:4" x14ac:dyDescent="0.25">
      <c r="B50" s="68" t="s">
        <v>201</v>
      </c>
      <c r="C50" s="68" t="s">
        <v>202</v>
      </c>
      <c r="D50" s="71" t="s">
        <v>203</v>
      </c>
    </row>
    <row r="51" spans="2:4" x14ac:dyDescent="0.25">
      <c r="B51" s="69">
        <v>0</v>
      </c>
      <c r="C51" s="72">
        <f t="shared" ref="C51:C70" si="0">ROUNDUP(IF(B51&lt;$B$8,4.5/$B$8*B51+1,4.5/($B$4-$B$8)*(B51-$B$8)+5.5),1)</f>
        <v>1</v>
      </c>
      <c r="D51" s="61" t="str">
        <f t="shared" ref="D51:D70" si="1">IF($B51=$B$5,"X","")</f>
        <v>X</v>
      </c>
    </row>
    <row r="52" spans="2:4" x14ac:dyDescent="0.25">
      <c r="B52" s="69">
        <v>1</v>
      </c>
      <c r="C52" s="72">
        <f t="shared" si="0"/>
        <v>1.5</v>
      </c>
      <c r="D52" s="61" t="str">
        <f t="shared" si="1"/>
        <v/>
      </c>
    </row>
    <row r="53" spans="2:4" x14ac:dyDescent="0.25">
      <c r="B53" s="69">
        <v>2</v>
      </c>
      <c r="C53" s="72">
        <f t="shared" si="0"/>
        <v>2</v>
      </c>
      <c r="D53" s="61" t="str">
        <f t="shared" si="1"/>
        <v/>
      </c>
    </row>
    <row r="54" spans="2:4" x14ac:dyDescent="0.25">
      <c r="B54" s="69">
        <v>3</v>
      </c>
      <c r="C54" s="72">
        <f t="shared" si="0"/>
        <v>2.5</v>
      </c>
      <c r="D54" s="61" t="str">
        <f t="shared" si="1"/>
        <v/>
      </c>
    </row>
    <row r="55" spans="2:4" x14ac:dyDescent="0.25">
      <c r="B55" s="69">
        <v>4</v>
      </c>
      <c r="C55" s="72">
        <f t="shared" si="0"/>
        <v>2.9</v>
      </c>
      <c r="D55" s="61" t="str">
        <f t="shared" si="1"/>
        <v/>
      </c>
    </row>
    <row r="56" spans="2:4" x14ac:dyDescent="0.25">
      <c r="B56" s="69">
        <v>5</v>
      </c>
      <c r="C56" s="72">
        <f t="shared" si="0"/>
        <v>3.4</v>
      </c>
      <c r="D56" s="61" t="str">
        <f t="shared" si="1"/>
        <v/>
      </c>
    </row>
    <row r="57" spans="2:4" x14ac:dyDescent="0.25">
      <c r="B57" s="69">
        <v>6</v>
      </c>
      <c r="C57" s="72">
        <f t="shared" si="0"/>
        <v>3.9</v>
      </c>
      <c r="D57" s="61" t="str">
        <f t="shared" si="1"/>
        <v/>
      </c>
    </row>
    <row r="58" spans="2:4" x14ac:dyDescent="0.25">
      <c r="B58" s="69">
        <v>7</v>
      </c>
      <c r="C58" s="72">
        <f t="shared" si="0"/>
        <v>4.3999999999999995</v>
      </c>
      <c r="D58" s="61" t="str">
        <f t="shared" si="1"/>
        <v/>
      </c>
    </row>
    <row r="59" spans="2:4" x14ac:dyDescent="0.25">
      <c r="B59" s="69">
        <v>8</v>
      </c>
      <c r="C59" s="72">
        <f t="shared" si="0"/>
        <v>4.8</v>
      </c>
      <c r="D59" s="61" t="str">
        <f t="shared" si="1"/>
        <v/>
      </c>
    </row>
    <row r="60" spans="2:4" x14ac:dyDescent="0.25">
      <c r="B60" s="69">
        <v>9</v>
      </c>
      <c r="C60" s="72">
        <f t="shared" si="0"/>
        <v>5.3</v>
      </c>
      <c r="D60" s="61" t="str">
        <f t="shared" si="1"/>
        <v/>
      </c>
    </row>
    <row r="61" spans="2:4" x14ac:dyDescent="0.25">
      <c r="B61" s="69">
        <v>10</v>
      </c>
      <c r="C61" s="72">
        <f t="shared" si="0"/>
        <v>5.8</v>
      </c>
      <c r="D61" s="61" t="str">
        <f t="shared" si="1"/>
        <v/>
      </c>
    </row>
    <row r="62" spans="2:4" x14ac:dyDescent="0.25">
      <c r="B62" s="69">
        <v>11</v>
      </c>
      <c r="C62" s="72">
        <f t="shared" si="0"/>
        <v>6.3</v>
      </c>
      <c r="D62" s="61" t="str">
        <f t="shared" si="1"/>
        <v/>
      </c>
    </row>
    <row r="63" spans="2:4" x14ac:dyDescent="0.25">
      <c r="B63" s="69">
        <v>12</v>
      </c>
      <c r="C63" s="72">
        <f t="shared" si="0"/>
        <v>6.6999999999999993</v>
      </c>
      <c r="D63" s="61" t="str">
        <f t="shared" si="1"/>
        <v/>
      </c>
    </row>
    <row r="64" spans="2:4" x14ac:dyDescent="0.25">
      <c r="B64" s="69">
        <v>13</v>
      </c>
      <c r="C64" s="72">
        <f t="shared" si="0"/>
        <v>7.1999999999999993</v>
      </c>
      <c r="D64" s="61" t="str">
        <f t="shared" si="1"/>
        <v/>
      </c>
    </row>
    <row r="65" spans="2:7" x14ac:dyDescent="0.25">
      <c r="B65" s="69">
        <v>14</v>
      </c>
      <c r="C65" s="72">
        <f t="shared" si="0"/>
        <v>7.6999999999999993</v>
      </c>
      <c r="D65" s="61" t="str">
        <f t="shared" si="1"/>
        <v/>
      </c>
    </row>
    <row r="66" spans="2:7" x14ac:dyDescent="0.25">
      <c r="B66" s="69">
        <v>15</v>
      </c>
      <c r="C66" s="72">
        <f t="shared" si="0"/>
        <v>8.1999999999999993</v>
      </c>
      <c r="D66" s="61" t="str">
        <f t="shared" si="1"/>
        <v/>
      </c>
    </row>
    <row r="67" spans="2:7" x14ac:dyDescent="0.25">
      <c r="B67" s="69">
        <v>16</v>
      </c>
      <c r="C67" s="72">
        <f t="shared" si="0"/>
        <v>8.6</v>
      </c>
      <c r="D67" s="61" t="str">
        <f t="shared" si="1"/>
        <v/>
      </c>
    </row>
    <row r="68" spans="2:7" x14ac:dyDescent="0.25">
      <c r="B68" s="69">
        <v>17</v>
      </c>
      <c r="C68" s="72">
        <f t="shared" si="0"/>
        <v>9.1</v>
      </c>
      <c r="D68" s="61" t="str">
        <f t="shared" si="1"/>
        <v/>
      </c>
    </row>
    <row r="69" spans="2:7" x14ac:dyDescent="0.25">
      <c r="B69" s="69">
        <v>18</v>
      </c>
      <c r="C69" s="72">
        <f t="shared" si="0"/>
        <v>9.6</v>
      </c>
      <c r="D69" s="61" t="str">
        <f t="shared" si="1"/>
        <v/>
      </c>
    </row>
    <row r="70" spans="2:7" x14ac:dyDescent="0.25">
      <c r="B70" s="69">
        <v>19</v>
      </c>
      <c r="C70" s="72">
        <f t="shared" si="0"/>
        <v>10</v>
      </c>
      <c r="D70" s="61" t="str">
        <f t="shared" si="1"/>
        <v/>
      </c>
    </row>
    <row r="72" spans="2:7" ht="26.1" customHeight="1" x14ac:dyDescent="0.25">
      <c r="B72" s="67" t="s">
        <v>204</v>
      </c>
    </row>
    <row r="73" spans="2:7" x14ac:dyDescent="0.25">
      <c r="B73" t="s">
        <v>205</v>
      </c>
    </row>
    <row r="74" spans="2:7" ht="35.1" customHeight="1" x14ac:dyDescent="0.25">
      <c r="B74" s="99" t="s">
        <v>206</v>
      </c>
      <c r="C74" s="99"/>
      <c r="D74" s="99"/>
      <c r="E74" s="99"/>
      <c r="F74" s="99"/>
      <c r="G74" s="99"/>
    </row>
    <row r="75" spans="2:7" ht="300" customHeight="1" x14ac:dyDescent="0.25">
      <c r="B75" s="93"/>
      <c r="C75" s="93"/>
      <c r="D75" s="93"/>
      <c r="E75" s="93"/>
      <c r="F75" s="93"/>
      <c r="G75" s="93"/>
    </row>
    <row r="77" spans="2:7" ht="26.1" customHeight="1" x14ac:dyDescent="0.25">
      <c r="B77" s="67" t="s">
        <v>207</v>
      </c>
    </row>
    <row r="78" spans="2:7" ht="24.95" customHeight="1" x14ac:dyDescent="0.25">
      <c r="B78" s="19" t="s">
        <v>208</v>
      </c>
    </row>
    <row r="79" spans="2:7" ht="90" customHeight="1" x14ac:dyDescent="0.25">
      <c r="B79" s="73" t="s">
        <v>19</v>
      </c>
      <c r="C79" s="94"/>
      <c r="D79" s="94"/>
    </row>
    <row r="80" spans="2:7" ht="90" customHeight="1" x14ac:dyDescent="0.25">
      <c r="B80" s="74" t="s">
        <v>20</v>
      </c>
      <c r="C80" s="95"/>
      <c r="D80" s="95"/>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1">
    <tabColor indexed="22"/>
    <pageSetUpPr fitToPage="1"/>
  </sheetPr>
  <dimension ref="A1:O53"/>
  <sheetViews>
    <sheetView showGridLines="0" topLeftCell="B21" workbookViewId="0">
      <selection activeCell="B21" sqref="B21:G2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6" t="str">
        <f>VLOOKUP(B1,werkprocessen,2,FALSE)</f>
        <v xml:space="preserve">Bereidt de realisatie voor </v>
      </c>
    </row>
    <row r="2" spans="1:7" hidden="1" x14ac:dyDescent="0.25">
      <c r="A2" t="s">
        <v>26</v>
      </c>
      <c r="B2" s="6">
        <f>VLOOKUP(B1,KerntakenEnWerkprocessen!B13:E27,3,FALSE)</f>
        <v>5</v>
      </c>
    </row>
    <row r="3" spans="1:7" hidden="1" x14ac:dyDescent="0.25">
      <c r="A3" t="s">
        <v>27</v>
      </c>
      <c r="B3" s="6">
        <f>VLOOKUP(B1,KerntakenEnWerkprocessen!B13:E27,4,FALSE)</f>
        <v>5</v>
      </c>
    </row>
    <row r="4" spans="1:7" hidden="1" x14ac:dyDescent="0.25">
      <c r="A4" t="s">
        <v>32</v>
      </c>
      <c r="B4" s="6">
        <f>SUM(N:N)</f>
        <v>6</v>
      </c>
      <c r="C4" s="55" t="s">
        <v>64</v>
      </c>
      <c r="D4" s="54" t="b">
        <f>IF(SUM(O:O)&gt;0,TRUE,FALSE)</f>
        <v>0</v>
      </c>
    </row>
    <row r="5" spans="1:7" hidden="1" x14ac:dyDescent="0.25">
      <c r="A5" t="s">
        <v>31</v>
      </c>
      <c r="B5" s="6">
        <f>SUM(M:M)</f>
        <v>0</v>
      </c>
    </row>
    <row r="6" spans="1:7" hidden="1" x14ac:dyDescent="0.25">
      <c r="A6" t="s">
        <v>42</v>
      </c>
      <c r="B6" s="6">
        <f>COUNTIF(N:N,1)</f>
        <v>3</v>
      </c>
    </row>
    <row r="7" spans="1:7" hidden="1" x14ac:dyDescent="0.25">
      <c r="A7" t="s">
        <v>43</v>
      </c>
      <c r="B7" s="6">
        <f>COUNTIF(N:N,2)+COUNTIF(N:N,3)</f>
        <v>1</v>
      </c>
    </row>
    <row r="8" spans="1:7" hidden="1" x14ac:dyDescent="0.25">
      <c r="A8" t="s">
        <v>34</v>
      </c>
      <c r="B8" s="6">
        <f>0.5*B4</f>
        <v>3</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 xml:space="preserve">B1-K1-W4: Bereidt de realisatie voor </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231</v>
      </c>
      <c r="C21" s="96"/>
      <c r="D21" s="96"/>
      <c r="E21" s="96"/>
      <c r="F21" s="96"/>
      <c r="G21" s="96"/>
    </row>
    <row r="22" spans="1:15" hidden="1" x14ac:dyDescent="0.25">
      <c r="A22" t="s">
        <v>173</v>
      </c>
      <c r="B22" s="59">
        <v>5</v>
      </c>
      <c r="D22" s="8" t="s">
        <v>174</v>
      </c>
      <c r="E22" s="60" t="s">
        <v>232</v>
      </c>
      <c r="G22" s="8" t="s">
        <v>176</v>
      </c>
      <c r="H22" s="59">
        <f>COUNTIF(Beheersingsniveaus!$C$4:$C$154,$E22)</f>
        <v>4</v>
      </c>
    </row>
    <row r="23" spans="1:15" x14ac:dyDescent="0.25">
      <c r="A23" t="s">
        <v>29</v>
      </c>
      <c r="B23" s="62" t="s">
        <v>177</v>
      </c>
      <c r="C23" s="62" t="s">
        <v>3</v>
      </c>
      <c r="D23" s="62">
        <v>0</v>
      </c>
      <c r="E23" s="62">
        <v>1</v>
      </c>
      <c r="F23" s="62">
        <v>2</v>
      </c>
      <c r="G23" s="62">
        <v>3</v>
      </c>
      <c r="H23" t="s">
        <v>8</v>
      </c>
      <c r="I23" t="s">
        <v>178</v>
      </c>
      <c r="J23" t="s">
        <v>179</v>
      </c>
      <c r="K23" t="s">
        <v>180</v>
      </c>
      <c r="L23" t="s">
        <v>181</v>
      </c>
      <c r="M23" t="s">
        <v>31</v>
      </c>
      <c r="N23" t="s">
        <v>32</v>
      </c>
      <c r="O23" t="s">
        <v>182</v>
      </c>
    </row>
    <row r="24" spans="1:15" ht="219.95" customHeight="1" x14ac:dyDescent="0.25">
      <c r="A24" s="63" t="s">
        <v>233</v>
      </c>
      <c r="B24" s="64" t="str">
        <f>VLOOKUP($A24,Beheersingsniveaus!$D$4:$K$154,2,FALSE)</f>
        <v>T1</v>
      </c>
      <c r="C24" s="64" t="str">
        <f>CONCATENATE(VLOOKUP($A24,Beheersingsniveaus!$D$4:$K$154,3,FALSE),IF($H24=ja,"*",""))</f>
        <v>Benodigde onderdelen</v>
      </c>
      <c r="D24" s="65" t="str">
        <f>VLOOKUP($A24,Beheersingsniveaus!$D$4:$K$154,4,FALSE)</f>
        <v>Weinig van de benodigde software voor de ontwikkelomgeving is beschreven.
Weinig van de benodigde hardware voor de ontwikkelomgeving is beschreven.</v>
      </c>
      <c r="E24" s="65" t="str">
        <f>VLOOKUP($A24,Beheersingsniveaus!$D$4:$K$154,5,FALSE)</f>
        <v xml:space="preserve">De benodigde software voor de ontwikkelomgeving is op enkele onderdelen na volledig beschreven.
De benodigde hardware voor de ontwikkelomgeving is op enkele onderdelen na volledig beschreven.
</v>
      </c>
      <c r="F24" s="65" t="str">
        <f>VLOOKUP($A24,Beheersingsniveaus!$D$4:$K$154,6,FALSE)</f>
        <v>De benodigde software voor de ontwikkelomgeving is op kleinigheden na volledig beschreven.
De benodigde hardware voor de ontwikkelomgeving is op kleinigheden na volledig beschreven.</v>
      </c>
      <c r="G24" s="65" t="str">
        <f>VLOOKUP($A24,Beheersingsniveaus!$D$4:$K$154,7,FALSE)</f>
        <v>De benodigde software voor de ontwikkelomgeving is volledig beschreven.
De benodigde hardware voor de ontwikkelomgeving is volledig beschreven.</v>
      </c>
      <c r="H24" s="59">
        <f>VLOOKUP($A24,Beheersingsniveaus!$D$4:$K$154,8,FALSE)</f>
        <v>0</v>
      </c>
      <c r="I24" s="59"/>
      <c r="J24" s="59"/>
      <c r="K24" s="59"/>
      <c r="L24" s="59"/>
      <c r="M24" s="59">
        <f>IF(L24=TRUE,3,IF(K24=TRUE,2,IF(J24=TRUE,1,IF(I24=TRUE,0,0))))</f>
        <v>0</v>
      </c>
      <c r="N24" s="59">
        <f>(4-COUNTBLANK(D24:G24))-1</f>
        <v>3</v>
      </c>
      <c r="O24" s="59">
        <f>COUNTA(I24:L24)</f>
        <v>0</v>
      </c>
    </row>
    <row r="25" spans="1:15" ht="99.95" customHeight="1" x14ac:dyDescent="0.25">
      <c r="A25" s="63" t="s">
        <v>234</v>
      </c>
      <c r="B25" s="64" t="str">
        <f>VLOOKUP($A25,Beheersingsniveaus!$D$4:$K$154,2,FALSE)</f>
        <v>T2</v>
      </c>
      <c r="C25" s="64" t="str">
        <f>CONCATENATE(VLOOKUP($A25,Beheersingsniveaus!$D$4:$K$154,3,FALSE),IF($H25=ja,"*",""))</f>
        <v>Installeren en configureren</v>
      </c>
      <c r="D25" s="65" t="str">
        <f>VLOOKUP($A25,Beheersingsniveaus!$D$4:$K$154,4,FALSE)</f>
        <v xml:space="preserve">De ontwikkelomgeving is niet juist geïnstalleerd en geconfigureerd.
</v>
      </c>
      <c r="E25" s="65" t="str">
        <f>VLOOKUP($A25,Beheersingsniveaus!$D$4:$K$154,5,FALSE)</f>
        <v>De ontwikkelomgeving is juist geïnstalleerd en geconfigureerd.</v>
      </c>
      <c r="F25" s="66"/>
      <c r="G25" s="66"/>
      <c r="H25" s="59">
        <f>VLOOKUP($A25,Beheersingsniveaus!$D$4:$K$154,8,FALSE)</f>
        <v>0</v>
      </c>
      <c r="I25" s="59"/>
      <c r="J25" s="59"/>
      <c r="K25" s="59"/>
      <c r="L25" s="59"/>
      <c r="M25" s="59">
        <f>IF(L25=TRUE,3,IF(K25=TRUE,2,IF(J25=TRUE,1,IF(I25=TRUE,0,0))))</f>
        <v>0</v>
      </c>
      <c r="N25" s="59">
        <f>(4-COUNTBLANK(D25:G25))-1</f>
        <v>1</v>
      </c>
      <c r="O25" s="59">
        <f>COUNTA(I25:L25)</f>
        <v>0</v>
      </c>
    </row>
    <row r="26" spans="1:15" ht="69.95" customHeight="1" x14ac:dyDescent="0.25">
      <c r="A26" s="63" t="s">
        <v>235</v>
      </c>
      <c r="B26" s="64" t="str">
        <f>VLOOKUP($A26,Beheersingsniveaus!$D$4:$K$154,2,FALSE)</f>
        <v>T3</v>
      </c>
      <c r="C26" s="64" t="str">
        <f>CONCATENATE(VLOOKUP($A26,Beheersingsniveaus!$D$4:$K$154,3,FALSE),IF($H26=ja,"*",""))</f>
        <v>Testen*</v>
      </c>
      <c r="D26" s="65" t="str">
        <f>VLOOKUP($A26,Beheersingsniveaus!$D$4:$K$154,4,FALSE)</f>
        <v xml:space="preserve">De ontwikkelomgeving is niet getest.
</v>
      </c>
      <c r="E26" s="65" t="str">
        <f>VLOOKUP($A26,Beheersingsniveaus!$D$4:$K$154,5,FALSE)</f>
        <v>De ontwikkelomgeving is getest.</v>
      </c>
      <c r="F26" s="66"/>
      <c r="G26" s="66"/>
      <c r="H26" s="59" t="str">
        <f>VLOOKUP($A26,Beheersingsniveaus!$D$4:$K$154,8,FALSE)</f>
        <v>Ja</v>
      </c>
      <c r="I26" s="59"/>
      <c r="J26" s="59"/>
      <c r="K26" s="59"/>
      <c r="L26" s="59"/>
      <c r="M26" s="59">
        <f>IF(L26=TRUE,3,IF(K26=TRUE,2,IF(J26=TRUE,1,IF(I26=TRUE,0,0))))</f>
        <v>0</v>
      </c>
      <c r="N26" s="59">
        <f>(4-COUNTBLANK(D26:G26))-1</f>
        <v>1</v>
      </c>
      <c r="O26" s="59">
        <f>COUNTA(I26:L26)</f>
        <v>0</v>
      </c>
    </row>
    <row r="27" spans="1:15" ht="84.95" customHeight="1" x14ac:dyDescent="0.25">
      <c r="A27" s="63" t="s">
        <v>236</v>
      </c>
      <c r="B27" s="64" t="str">
        <f>VLOOKUP($A27,Beheersingsniveaus!$D$4:$K$154,2,FALSE)</f>
        <v>T4</v>
      </c>
      <c r="C27" s="64" t="str">
        <f>CONCATENATE(VLOOKUP($A27,Beheersingsniveaus!$D$4:$K$154,3,FALSE),IF($H27=ja,"*",""))</f>
        <v>Documenteren</v>
      </c>
      <c r="D27" s="65" t="str">
        <f>VLOOKUP($A27,Beheersingsniveaus!$D$4:$K$154,4,FALSE)</f>
        <v xml:space="preserve">De documentatie is niet volledig en/of correct en/of duidelijk.
</v>
      </c>
      <c r="E27" s="65" t="str">
        <f>VLOOKUP($A27,Beheersingsniveaus!$D$4:$K$154,5,FALSE)</f>
        <v>De documentatie is niet volledig en/of correct en/of duidelijk.</v>
      </c>
      <c r="F27" s="66"/>
      <c r="G27" s="66"/>
      <c r="H27" s="59">
        <f>VLOOKUP($A27,Beheersingsniveaus!$D$4:$K$154,8,FALSE)</f>
        <v>0</v>
      </c>
      <c r="I27" s="59"/>
      <c r="J27" s="59"/>
      <c r="K27" s="59"/>
      <c r="L27" s="59"/>
      <c r="M27" s="59">
        <f>IF(L27=TRUE,3,IF(K27=TRUE,2,IF(J27=TRUE,1,IF(I27=TRUE,0,0))))</f>
        <v>0</v>
      </c>
      <c r="N27" s="59">
        <f>(4-COUNTBLANK(D27:G27))-1</f>
        <v>1</v>
      </c>
      <c r="O27" s="59">
        <f>COUNTA(I27:L27)</f>
        <v>0</v>
      </c>
    </row>
    <row r="28" spans="1:15" x14ac:dyDescent="0.25">
      <c r="B28" t="s">
        <v>190</v>
      </c>
    </row>
    <row r="29" spans="1:15" ht="28.5" customHeight="1" x14ac:dyDescent="0.4">
      <c r="B29" s="97" t="s">
        <v>237</v>
      </c>
      <c r="C29" s="98"/>
      <c r="D29" s="98"/>
      <c r="E29" s="98"/>
      <c r="F29" s="98"/>
      <c r="G29" s="98"/>
    </row>
    <row r="30" spans="1:15" ht="26.1" customHeight="1" x14ac:dyDescent="0.25">
      <c r="B30" s="67" t="s">
        <v>192</v>
      </c>
    </row>
    <row r="31" spans="1:15" hidden="1" x14ac:dyDescent="0.25">
      <c r="B31" t="s">
        <v>193</v>
      </c>
      <c r="C31" s="59">
        <f>COUNTIF($H:$H,ja)</f>
        <v>1</v>
      </c>
      <c r="D31" s="8" t="s">
        <v>194</v>
      </c>
      <c r="E31" s="60" t="b">
        <f>IF(COUNTIF(J31:J33,FALSE)=0,TRUE,FALSE)</f>
        <v>0</v>
      </c>
    </row>
    <row r="32" spans="1:15" x14ac:dyDescent="0.25">
      <c r="A32" t="s">
        <v>29</v>
      </c>
      <c r="B32" s="68" t="s">
        <v>195</v>
      </c>
      <c r="C32" s="68"/>
      <c r="D32" s="70" t="s">
        <v>196</v>
      </c>
      <c r="E32" s="71"/>
      <c r="H32" t="s">
        <v>197</v>
      </c>
      <c r="I32" t="s">
        <v>198</v>
      </c>
      <c r="J32" t="s">
        <v>199</v>
      </c>
    </row>
    <row r="33" spans="1:10" x14ac:dyDescent="0.25">
      <c r="A33" s="59" t="s">
        <v>235</v>
      </c>
      <c r="B33" t="str">
        <f>VLOOKUP($A33,Beheersingsniveaus!$D$3:$F$154,3,FALSE)</f>
        <v>Testen</v>
      </c>
      <c r="D33" s="69" t="str">
        <f>CONCATENATE(IF(VLOOKUP(A33,A21:N28,13,FALSE)&gt;0,"Behaald","Niet behaald"))</f>
        <v>Niet behaald</v>
      </c>
      <c r="J33" s="59" t="b">
        <f>IF(VLOOKUP($A33,$A$21:$N$28,13,FALSE)&gt;0,TRUE,FALSE)</f>
        <v>0</v>
      </c>
    </row>
    <row r="35" spans="1:10" ht="26.1" customHeight="1" x14ac:dyDescent="0.25">
      <c r="B35" s="67" t="s">
        <v>200</v>
      </c>
    </row>
    <row r="36" spans="1:10" x14ac:dyDescent="0.25">
      <c r="B36" s="68" t="s">
        <v>201</v>
      </c>
      <c r="C36" s="68" t="s">
        <v>202</v>
      </c>
      <c r="D36" s="71" t="s">
        <v>203</v>
      </c>
    </row>
    <row r="37" spans="1:10" x14ac:dyDescent="0.25">
      <c r="B37" s="69">
        <v>0</v>
      </c>
      <c r="C37" s="72">
        <f t="shared" ref="C37:C43" si="0">ROUNDUP(IF(B37&lt;$B$8,4.5/$B$8*B37+1,4.5/($B$4-$B$8)*(B37-$B$8)+5.5),1)</f>
        <v>1</v>
      </c>
      <c r="D37" s="61" t="str">
        <f t="shared" ref="D37:D43" si="1">IF($B37=$B$5,"X","")</f>
        <v>X</v>
      </c>
    </row>
    <row r="38" spans="1:10" x14ac:dyDescent="0.25">
      <c r="B38" s="69">
        <v>1</v>
      </c>
      <c r="C38" s="72">
        <f t="shared" si="0"/>
        <v>2.5</v>
      </c>
      <c r="D38" s="61" t="str">
        <f t="shared" si="1"/>
        <v/>
      </c>
    </row>
    <row r="39" spans="1:10" x14ac:dyDescent="0.25">
      <c r="B39" s="69">
        <v>2</v>
      </c>
      <c r="C39" s="72">
        <f t="shared" si="0"/>
        <v>4</v>
      </c>
      <c r="D39" s="61" t="str">
        <f t="shared" si="1"/>
        <v/>
      </c>
    </row>
    <row r="40" spans="1:10" x14ac:dyDescent="0.25">
      <c r="B40" s="69">
        <v>3</v>
      </c>
      <c r="C40" s="72">
        <f t="shared" si="0"/>
        <v>5.5</v>
      </c>
      <c r="D40" s="61" t="str">
        <f t="shared" si="1"/>
        <v/>
      </c>
    </row>
    <row r="41" spans="1:10" x14ac:dyDescent="0.25">
      <c r="B41" s="69">
        <v>4</v>
      </c>
      <c r="C41" s="72">
        <f t="shared" si="0"/>
        <v>7</v>
      </c>
      <c r="D41" s="61" t="str">
        <f t="shared" si="1"/>
        <v/>
      </c>
    </row>
    <row r="42" spans="1:10" x14ac:dyDescent="0.25">
      <c r="B42" s="69">
        <v>5</v>
      </c>
      <c r="C42" s="72">
        <f t="shared" si="0"/>
        <v>8.5</v>
      </c>
      <c r="D42" s="61" t="str">
        <f t="shared" si="1"/>
        <v/>
      </c>
    </row>
    <row r="43" spans="1:10" x14ac:dyDescent="0.25">
      <c r="B43" s="69">
        <v>6</v>
      </c>
      <c r="C43" s="72">
        <f t="shared" si="0"/>
        <v>10</v>
      </c>
      <c r="D43" s="61" t="str">
        <f t="shared" si="1"/>
        <v/>
      </c>
    </row>
    <row r="45" spans="1:10" ht="26.1" customHeight="1" x14ac:dyDescent="0.25">
      <c r="B45" s="67" t="s">
        <v>204</v>
      </c>
    </row>
    <row r="46" spans="1:10" x14ac:dyDescent="0.25">
      <c r="B46" t="s">
        <v>205</v>
      </c>
    </row>
    <row r="47" spans="1:10" ht="35.1" customHeight="1" x14ac:dyDescent="0.25">
      <c r="B47" s="99" t="s">
        <v>206</v>
      </c>
      <c r="C47" s="99"/>
      <c r="D47" s="99"/>
      <c r="E47" s="99"/>
      <c r="F47" s="99"/>
      <c r="G47" s="99"/>
    </row>
    <row r="48" spans="1:10" ht="300" customHeight="1" x14ac:dyDescent="0.25">
      <c r="B48" s="93"/>
      <c r="C48" s="93"/>
      <c r="D48" s="93"/>
      <c r="E48" s="93"/>
      <c r="F48" s="93"/>
      <c r="G48" s="93"/>
    </row>
    <row r="50" spans="2:4" ht="26.1" customHeight="1" x14ac:dyDescent="0.25">
      <c r="B50" s="67" t="s">
        <v>207</v>
      </c>
    </row>
    <row r="51" spans="2:4" ht="24.95" customHeight="1" x14ac:dyDescent="0.25">
      <c r="B51" s="19" t="s">
        <v>208</v>
      </c>
    </row>
    <row r="52" spans="2:4" ht="90" customHeight="1" x14ac:dyDescent="0.25">
      <c r="B52" s="73" t="s">
        <v>19</v>
      </c>
      <c r="C52" s="94"/>
      <c r="D52" s="94"/>
    </row>
    <row r="53" spans="2:4" ht="90" customHeight="1" x14ac:dyDescent="0.25">
      <c r="B53" s="74" t="s">
        <v>20</v>
      </c>
      <c r="C53" s="95"/>
      <c r="D53" s="95"/>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17" ma:contentTypeDescription="Een nieuw document maken." ma:contentTypeScope="" ma:versionID="a78f7f205666631896ccc567e32c6b00">
  <xsd:schema xmlns:xsd="http://www.w3.org/2001/XMLSchema" xmlns:xs="http://www.w3.org/2001/XMLSchema" xmlns:p="http://schemas.microsoft.com/office/2006/metadata/properties" xmlns:ns2="b7e4e9fd-5e36-4299-889f-f6136aff670e" xmlns:ns3="fbafb59e-d651-4668-8e65-f7f85ceca18b" targetNamespace="http://schemas.microsoft.com/office/2006/metadata/properties" ma:root="true" ma:fieldsID="80e6bfcb799af84af64f4714b87a75c5" ns2:_="" ns3:_="">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jeb5123c558143d5ab1e1526e87a8da0 xmlns="b7e4e9fd-5e36-4299-889f-f6136aff670e">
      <Terms xmlns="http://schemas.microsoft.com/office/infopath/2007/PartnerControls"/>
    </jeb5123c558143d5ab1e1526e87a8da0>
    <TaxCatchAll xmlns="fbafb59e-d651-4668-8e65-f7f85ceca18b"/>
  </documentManagement>
</p:properties>
</file>

<file path=customXml/itemProps1.xml><?xml version="1.0" encoding="utf-8"?>
<ds:datastoreItem xmlns:ds="http://schemas.openxmlformats.org/officeDocument/2006/customXml" ds:itemID="{0655F8DE-BC15-4164-93A1-D54FE200ADDE}"/>
</file>

<file path=customXml/itemProps2.xml><?xml version="1.0" encoding="utf-8"?>
<ds:datastoreItem xmlns:ds="http://schemas.openxmlformats.org/officeDocument/2006/customXml" ds:itemID="{43DE6CE4-4C1A-4293-932F-9D5F49FFCE91}"/>
</file>

<file path=customXml/itemProps3.xml><?xml version="1.0" encoding="utf-8"?>
<ds:datastoreItem xmlns:ds="http://schemas.openxmlformats.org/officeDocument/2006/customXml" ds:itemID="{914C49E1-A3E0-4318-A606-36A8FB4201B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5</vt:i4>
      </vt:variant>
      <vt:variant>
        <vt:lpstr>Benoemde bereiken</vt:lpstr>
      </vt:variant>
      <vt:variant>
        <vt:i4>19</vt:i4>
      </vt:variant>
    </vt:vector>
  </HeadingPairs>
  <TitlesOfParts>
    <vt:vector size="24" baseType="lpstr">
      <vt:lpstr>Voorblad</vt: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2018-01-22T15:21:24Z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908800</vt:r8>
  </property>
  <property fmtid="{D5CDD505-2E9C-101B-9397-08002B2CF9AE}" pid="3" name="ContentTypeId">
    <vt:lpwstr>0x0101000C5151218AB56640BDBA68249A073511</vt:lpwstr>
  </property>
</Properties>
</file>